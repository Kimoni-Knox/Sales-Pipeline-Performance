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155974c3a06f0ae/Documents/Sales Pipeline Performance/"/>
    </mc:Choice>
  </mc:AlternateContent>
  <xr:revisionPtr revIDLastSave="105" documentId="8_{B0276A29-07A3-4E87-A77B-6FC16D09936C}" xr6:coauthVersionLast="47" xr6:coauthVersionMax="47" xr10:uidLastSave="{428003C2-A7B6-4A04-A893-63A6CB6FA369}"/>
  <bookViews>
    <workbookView xWindow="-120" yWindow="-120" windowWidth="20730" windowHeight="11160" xr2:uid="{00000000-000D-0000-FFFF-FFFF00000000}"/>
  </bookViews>
  <sheets>
    <sheet name="deals" sheetId="1" r:id="rId1"/>
    <sheet name="stage_mapping" sheetId="7" r:id="rId2"/>
    <sheet name="sales_reps" sheetId="6" r:id="rId3"/>
  </sheets>
  <definedNames>
    <definedName name="ExternalData_1" localSheetId="0" hidden="1">deals!$A:$I</definedName>
    <definedName name="ExternalData_1" localSheetId="2" hidden="1">sales_reps!$A$1:$D$21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52F1C-36DB-4CE0-9718-BEB051F35043}" keepAlive="1" name="Query - sales_reps" description="Connection to the 'sales_reps' query in the workbook." type="5" refreshedVersion="8" background="1" saveData="1">
    <dbPr connection="Provider=Microsoft.Mashup.OleDb.1;Data Source=$Workbook$;Location=sales_reps;Extended Properties=&quot;&quot;" command="SELECT * FROM [sales_reps]"/>
  </connection>
</connections>
</file>

<file path=xl/sharedStrings.xml><?xml version="1.0" encoding="utf-8"?>
<sst xmlns="http://schemas.openxmlformats.org/spreadsheetml/2006/main" count="2411" uniqueCount="536">
  <si>
    <t>deal_id</t>
  </si>
  <si>
    <t>rep_id</t>
  </si>
  <si>
    <t>stage</t>
  </si>
  <si>
    <t>deal_value</t>
  </si>
  <si>
    <t>lead_source</t>
  </si>
  <si>
    <t>region</t>
  </si>
  <si>
    <t>created_date</t>
  </si>
  <si>
    <t>closed_date</t>
  </si>
  <si>
    <t>D10001</t>
  </si>
  <si>
    <t>R120</t>
  </si>
  <si>
    <t>New Lead</t>
  </si>
  <si>
    <t>Website</t>
  </si>
  <si>
    <t>Central</t>
  </si>
  <si>
    <t>D10002</t>
  </si>
  <si>
    <t>R118</t>
  </si>
  <si>
    <t>Qualified</t>
  </si>
  <si>
    <t>Linkedin</t>
  </si>
  <si>
    <t>East</t>
  </si>
  <si>
    <t>D10003</t>
  </si>
  <si>
    <t>R113</t>
  </si>
  <si>
    <t>Referral</t>
  </si>
  <si>
    <t>South</t>
  </si>
  <si>
    <t>D10004</t>
  </si>
  <si>
    <t>R114</t>
  </si>
  <si>
    <t>Closed Lost</t>
  </si>
  <si>
    <t>Midwest</t>
  </si>
  <si>
    <t>D10005</t>
  </si>
  <si>
    <t>R106</t>
  </si>
  <si>
    <t>Partner</t>
  </si>
  <si>
    <t>West</t>
  </si>
  <si>
    <t>D10006</t>
  </si>
  <si>
    <t>R108</t>
  </si>
  <si>
    <t>Webinar</t>
  </si>
  <si>
    <t>D10007</t>
  </si>
  <si>
    <t>R110</t>
  </si>
  <si>
    <t>Proposal</t>
  </si>
  <si>
    <t>D10008</t>
  </si>
  <si>
    <t>R103</t>
  </si>
  <si>
    <t>D10009</t>
  </si>
  <si>
    <t>R102</t>
  </si>
  <si>
    <t>D10010</t>
  </si>
  <si>
    <t>D10011</t>
  </si>
  <si>
    <t>R107</t>
  </si>
  <si>
    <t>Cold Call</t>
  </si>
  <si>
    <t>D10012</t>
  </si>
  <si>
    <t>R119</t>
  </si>
  <si>
    <t>D10013</t>
  </si>
  <si>
    <t>R101</t>
  </si>
  <si>
    <t>D10014</t>
  </si>
  <si>
    <t>Negotiating</t>
  </si>
  <si>
    <t>D10015</t>
  </si>
  <si>
    <t>D10016</t>
  </si>
  <si>
    <t>D10017</t>
  </si>
  <si>
    <t>Closed Won</t>
  </si>
  <si>
    <t>D10018</t>
  </si>
  <si>
    <t>D10019</t>
  </si>
  <si>
    <t>R104</t>
  </si>
  <si>
    <t>D10020</t>
  </si>
  <si>
    <t>D10021</t>
  </si>
  <si>
    <t>D10022</t>
  </si>
  <si>
    <t>D10023</t>
  </si>
  <si>
    <t>D10024</t>
  </si>
  <si>
    <t>D10025</t>
  </si>
  <si>
    <t>R105</t>
  </si>
  <si>
    <t>D10026</t>
  </si>
  <si>
    <t>R112</t>
  </si>
  <si>
    <t>D10027</t>
  </si>
  <si>
    <t>D10028</t>
  </si>
  <si>
    <t>R116</t>
  </si>
  <si>
    <t>D10029</t>
  </si>
  <si>
    <t>R115</t>
  </si>
  <si>
    <t>Contract Review</t>
  </si>
  <si>
    <t>D10030</t>
  </si>
  <si>
    <t>D10031</t>
  </si>
  <si>
    <t>D10032</t>
  </si>
  <si>
    <t>D10033</t>
  </si>
  <si>
    <t>D10034</t>
  </si>
  <si>
    <t>D10035</t>
  </si>
  <si>
    <t>D10036</t>
  </si>
  <si>
    <t>R109</t>
  </si>
  <si>
    <t>D10037</t>
  </si>
  <si>
    <t>R117</t>
  </si>
  <si>
    <t>D10038</t>
  </si>
  <si>
    <t>D10039</t>
  </si>
  <si>
    <t>D10040</t>
  </si>
  <si>
    <t>D10041</t>
  </si>
  <si>
    <t>D10042</t>
  </si>
  <si>
    <t>D10043</t>
  </si>
  <si>
    <t>D10044</t>
  </si>
  <si>
    <t>D10045</t>
  </si>
  <si>
    <t>D10046</t>
  </si>
  <si>
    <t>D10047</t>
  </si>
  <si>
    <t>D10048</t>
  </si>
  <si>
    <t>D10049</t>
  </si>
  <si>
    <t>D10050</t>
  </si>
  <si>
    <t>D10051</t>
  </si>
  <si>
    <t>D10052</t>
  </si>
  <si>
    <t>SQL</t>
  </si>
  <si>
    <t>D10053</t>
  </si>
  <si>
    <t>D10054</t>
  </si>
  <si>
    <t>D10055</t>
  </si>
  <si>
    <t>D10056</t>
  </si>
  <si>
    <t>D10057</t>
  </si>
  <si>
    <t>D10058</t>
  </si>
  <si>
    <t>D10059</t>
  </si>
  <si>
    <t>R111</t>
  </si>
  <si>
    <t>D10060</t>
  </si>
  <si>
    <t>D10061</t>
  </si>
  <si>
    <t>D10062</t>
  </si>
  <si>
    <t>D10063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</si>
  <si>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</si>
  <si>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</si>
  <si>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</si>
  <si>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</si>
  <si>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</si>
  <si>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</si>
  <si>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</si>
  <si>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</si>
  <si>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</si>
  <si>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</si>
  <si>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</si>
  <si>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D10075</t>
  </si>
  <si>
    <t>D10076</t>
  </si>
  <si>
    <t>D10077</t>
  </si>
  <si>
    <t>D10078</t>
  </si>
  <si>
    <t>DL-10079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</si>
  <si>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</si>
  <si>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</si>
  <si>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</si>
  <si>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</si>
  <si>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</si>
  <si>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</si>
  <si>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</si>
  <si>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</si>
  <si>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</si>
  <si>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</si>
  <si>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</si>
  <si>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</si>
  <si>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</si>
  <si>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</si>
  <si>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</si>
  <si>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</si>
  <si>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</si>
  <si>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</si>
  <si>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</si>
  <si>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</si>
  <si>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</si>
  <si>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</si>
  <si>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</si>
  <si>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</si>
  <si>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</si>
  <si>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</si>
  <si>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</si>
  <si>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</si>
  <si>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</si>
  <si>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</si>
  <si>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</si>
  <si>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</si>
  <si>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</si>
  <si>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DL-10113</t>
  </si>
  <si>
    <t>D10114</t>
  </si>
  <si>
    <t>D10115</t>
  </si>
  <si>
    <t>D10116</t>
  </si>
  <si>
    <t>D10117</t>
  </si>
  <si>
    <t>D10118</t>
  </si>
  <si>
    <t>D10119</t>
  </si>
  <si>
    <t>D10120</t>
  </si>
  <si>
    <t>D10121</t>
  </si>
  <si>
    <t>D10122</t>
  </si>
  <si>
    <t>D10123</t>
  </si>
  <si>
    <t>DL-10124</t>
  </si>
  <si>
    <t>D10125</t>
  </si>
  <si>
    <t>D10126</t>
  </si>
  <si>
    <t>D10127</t>
  </si>
  <si>
    <t>D10128</t>
  </si>
  <si>
    <t>D10129</t>
  </si>
  <si>
    <t>D10130</t>
  </si>
  <si>
    <t>D10131</t>
  </si>
  <si>
    <t>D10132</t>
  </si>
  <si>
    <t>D10133</t>
  </si>
  <si>
    <t>D10134</t>
  </si>
  <si>
    <t>DL-10135</t>
  </si>
  <si>
    <t>D10136</t>
  </si>
  <si>
    <t>D10137</t>
  </si>
  <si>
    <t>D10138</t>
  </si>
  <si>
    <t>D10139</t>
  </si>
  <si>
    <t>D10140</t>
  </si>
  <si>
    <t>DL-10141</t>
  </si>
  <si>
    <t>D10142</t>
  </si>
  <si>
    <t>D10143</t>
  </si>
  <si>
    <t>D10144</t>
  </si>
  <si>
    <t>D10145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</si>
  <si>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</si>
  <si>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</si>
  <si>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</si>
  <si>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</si>
  <si>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</si>
  <si>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</si>
  <si>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</si>
  <si>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</si>
  <si>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</si>
  <si>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D10155</t>
  </si>
  <si>
    <t>D10156</t>
  </si>
  <si>
    <t>D10157</t>
  </si>
  <si>
    <t>D10158</t>
  </si>
  <si>
    <t>D10159</t>
  </si>
  <si>
    <t>D10160</t>
  </si>
  <si>
    <t>D10161</t>
  </si>
  <si>
    <t>D10162</t>
  </si>
  <si>
    <t>D10163</t>
  </si>
  <si>
    <t>D10164</t>
  </si>
  <si>
    <t>D10165</t>
  </si>
  <si>
    <t>D10166</t>
  </si>
  <si>
    <t>D10167</t>
  </si>
  <si>
    <t>D10168</t>
  </si>
  <si>
    <t>D10169</t>
  </si>
  <si>
    <t>D10170</t>
  </si>
  <si>
    <t>DL-10171</t>
  </si>
  <si>
    <t>D10172</t>
  </si>
  <si>
    <t>D10173</t>
  </si>
  <si>
    <t>D10174</t>
  </si>
  <si>
    <t>D10175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</si>
  <si>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</si>
  <si>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</si>
  <si>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</si>
  <si>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</si>
  <si>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</si>
  <si>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</si>
  <si>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</si>
  <si>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</si>
  <si>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D10184</t>
  </si>
  <si>
    <t>D10185</t>
  </si>
  <si>
    <t>D10186</t>
  </si>
  <si>
    <t>D10187</t>
  </si>
  <si>
    <t>D10188</t>
  </si>
  <si>
    <t>D10189</t>
  </si>
  <si>
    <t>D10190</t>
  </si>
  <si>
    <t>D10191</t>
  </si>
  <si>
    <t>D10192</t>
  </si>
  <si>
    <t>D10193</t>
  </si>
  <si>
    <t>D10194</t>
  </si>
  <si>
    <t>D10195</t>
  </si>
  <si>
    <t>D10196</t>
  </si>
  <si>
    <t>D10197</t>
  </si>
  <si>
    <t>D10198</t>
  </si>
  <si>
    <t>D10199</t>
  </si>
  <si>
    <t>D10200</t>
  </si>
  <si>
    <t>D10201</t>
  </si>
  <si>
    <t>D10202</t>
  </si>
  <si>
    <t>D10203</t>
  </si>
  <si>
    <t>D10204</t>
  </si>
  <si>
    <t>D10205</t>
  </si>
  <si>
    <t>D10206</t>
  </si>
  <si>
    <t>D10207</t>
  </si>
  <si>
    <t>D10208</t>
  </si>
  <si>
    <t>D10209</t>
  </si>
  <si>
    <t>D10210</t>
  </si>
  <si>
    <t>D10211</t>
  </si>
  <si>
    <t>D10212</t>
  </si>
  <si>
    <t>D10213</t>
  </si>
  <si>
    <t>D10214</t>
  </si>
  <si>
    <t>D10215</t>
  </si>
  <si>
    <t>D10216</t>
  </si>
  <si>
    <t>D10217</t>
  </si>
  <si>
    <t>D10218</t>
  </si>
  <si>
    <t>D10219</t>
  </si>
  <si>
    <t>D10220</t>
  </si>
  <si>
    <t>D10221</t>
  </si>
  <si>
    <t>D10222</t>
  </si>
  <si>
    <t>D10223</t>
  </si>
  <si>
    <t>D10224</t>
  </si>
  <si>
    <t>D10225</t>
  </si>
  <si>
    <t>D10226</t>
  </si>
  <si>
    <t>DL-10227</t>
  </si>
  <si>
    <t>D10228</t>
  </si>
  <si>
    <t>D10229</t>
  </si>
  <si>
    <t>D10230</t>
  </si>
  <si>
    <t>D10231</t>
  </si>
  <si>
    <t>D10232</t>
  </si>
  <si>
    <t>D10233</t>
  </si>
  <si>
    <t>D10234</t>
  </si>
  <si>
    <t>D10235</t>
  </si>
  <si>
    <t>D10236</t>
  </si>
  <si>
    <t>D10237</t>
  </si>
  <si>
    <t>D10238</t>
  </si>
  <si>
    <t>D10239</t>
  </si>
  <si>
    <t>D10240</t>
  </si>
  <si>
    <t>D10241</t>
  </si>
  <si>
    <t>D10242</t>
  </si>
  <si>
    <t>D10243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</si>
  <si>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</si>
  <si>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</si>
  <si>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</si>
  <si>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</si>
  <si>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</si>
  <si>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</si>
  <si>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</si>
  <si>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</si>
  <si>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</si>
  <si>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</si>
  <si>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</si>
  <si>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</si>
  <si>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</si>
  <si>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</si>
  <si>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</si>
  <si>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</si>
  <si>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</si>
  <si>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</si>
  <si>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</si>
  <si>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</si>
  <si>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D10264</t>
  </si>
  <si>
    <t>D10265</t>
  </si>
  <si>
    <t>D10266</t>
  </si>
  <si>
    <t>D10267</t>
  </si>
  <si>
    <t>D10268</t>
  </si>
  <si>
    <t>DL-10269</t>
  </si>
  <si>
    <t>D10270</t>
  </si>
  <si>
    <t>D10271</t>
  </si>
  <si>
    <t>D10272</t>
  </si>
  <si>
    <t>D10273</t>
  </si>
  <si>
    <t>D10274</t>
  </si>
  <si>
    <t>D10275</t>
  </si>
  <si>
    <t>D10276</t>
  </si>
  <si>
    <t>D10277</t>
  </si>
  <si>
    <t>D10278</t>
  </si>
  <si>
    <t>D10279</t>
  </si>
  <si>
    <t>D10280</t>
  </si>
  <si>
    <t>D10281</t>
  </si>
  <si>
    <t>D10282</t>
  </si>
  <si>
    <t>D10283</t>
  </si>
  <si>
    <t>D10284</t>
  </si>
  <si>
    <t>D10285</t>
  </si>
  <si>
    <t>D10286</t>
  </si>
  <si>
    <t>D10287</t>
  </si>
  <si>
    <t>D10288</t>
  </si>
  <si>
    <t>D10289</t>
  </si>
  <si>
    <t>D10290</t>
  </si>
  <si>
    <t>D10291</t>
  </si>
  <si>
    <t>D10292</t>
  </si>
  <si>
    <t>D10293</t>
  </si>
  <si>
    <t>D10294</t>
  </si>
  <si>
    <t>D10295</t>
  </si>
  <si>
    <t>D10296</t>
  </si>
  <si>
    <t>D10297</t>
  </si>
  <si>
    <t>D10298</t>
  </si>
  <si>
    <t>D10299</t>
  </si>
  <si>
    <t>D10300</t>
  </si>
  <si>
    <t>D10301</t>
  </si>
  <si>
    <t>D10302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</si>
  <si>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</si>
  <si>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</si>
  <si>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</si>
  <si>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</si>
  <si>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</si>
  <si>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</si>
  <si>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</si>
  <si>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</si>
  <si>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</si>
  <si>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</si>
  <si>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</si>
  <si>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</si>
  <si>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</si>
  <si>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</si>
  <si>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</si>
  <si>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</si>
  <si>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D10319</t>
  </si>
  <si>
    <t>DL-10320</t>
  </si>
  <si>
    <t>D10321</t>
  </si>
  <si>
    <t>D10322</t>
  </si>
  <si>
    <t>D10323</t>
  </si>
  <si>
    <t>D10324</t>
  </si>
  <si>
    <t>D10325</t>
  </si>
  <si>
    <t>D10326</t>
  </si>
  <si>
    <t>D10327</t>
  </si>
  <si>
    <t>D10328</t>
  </si>
  <si>
    <t>D10329</t>
  </si>
  <si>
    <t>D10330</t>
  </si>
  <si>
    <t>D10331</t>
  </si>
  <si>
    <t>D10332</t>
  </si>
  <si>
    <t>D10333</t>
  </si>
  <si>
    <t>D10334</t>
  </si>
  <si>
    <t>D10335</t>
  </si>
  <si>
    <t>D10336</t>
  </si>
  <si>
    <t>D10337</t>
  </si>
  <si>
    <t>D10338</t>
  </si>
  <si>
    <t>D10339</t>
  </si>
  <si>
    <t>D10340</t>
  </si>
  <si>
    <t>D10341</t>
  </si>
  <si>
    <t>D10342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</si>
  <si>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</si>
  <si>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</si>
  <si>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</si>
  <si>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</si>
  <si>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</si>
  <si>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</si>
  <si>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</si>
  <si>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</si>
  <si>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</si>
  <si>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</si>
  <si>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</si>
  <si>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</si>
  <si>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</si>
  <si>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</si>
  <si>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</si>
  <si>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D10358</t>
  </si>
  <si>
    <t>D10359</t>
  </si>
  <si>
    <t>D10360</t>
  </si>
  <si>
    <t>D10361</t>
  </si>
  <si>
    <t>D10362</t>
  </si>
  <si>
    <t>D10363</t>
  </si>
  <si>
    <t>D10364</t>
  </si>
  <si>
    <t>D10365</t>
  </si>
  <si>
    <t>D10366</t>
  </si>
  <si>
    <t>D10367</t>
  </si>
  <si>
    <t>D10368</t>
  </si>
  <si>
    <t>D10369</t>
  </si>
  <si>
    <t>D10370</t>
  </si>
  <si>
    <t>D10371</t>
  </si>
  <si>
    <t>D10372</t>
  </si>
  <si>
    <t>D10373</t>
  </si>
  <si>
    <t>D10374</t>
  </si>
  <si>
    <t>D10375</t>
  </si>
  <si>
    <t>D10376</t>
  </si>
  <si>
    <t>D10377</t>
  </si>
  <si>
    <t>D10378</t>
  </si>
  <si>
    <t>D10379</t>
  </si>
  <si>
    <t>D10380</t>
  </si>
  <si>
    <t>D10381</t>
  </si>
  <si>
    <t>D10382</t>
  </si>
  <si>
    <t>D10383</t>
  </si>
  <si>
    <t>D10384</t>
  </si>
  <si>
    <t>D10385</t>
  </si>
  <si>
    <t>D10386</t>
  </si>
  <si>
    <t>D10387</t>
  </si>
  <si>
    <t>D10388</t>
  </si>
  <si>
    <t>D10389</t>
  </si>
  <si>
    <t>D10390</t>
  </si>
  <si>
    <t>D10391</t>
  </si>
  <si>
    <t>D10392</t>
  </si>
  <si>
    <t>D10393</t>
  </si>
  <si>
    <t>D10394</t>
  </si>
  <si>
    <t>D10395</t>
  </si>
  <si>
    <t>D10396</t>
  </si>
  <si>
    <t>D10397</t>
  </si>
  <si>
    <t>D10398</t>
  </si>
  <si>
    <t>D10399</t>
  </si>
  <si>
    <t>D10400</t>
  </si>
  <si>
    <t>D10401</t>
  </si>
  <si>
    <t>D10402</t>
  </si>
  <si>
    <t>D10403</t>
  </si>
  <si>
    <t>D10404</t>
  </si>
  <si>
    <t>D10405</t>
  </si>
  <si>
    <t>DL-10406</t>
  </si>
  <si>
    <t>D10407</t>
  </si>
  <si>
    <t>D10408</t>
  </si>
  <si>
    <t>D10409</t>
  </si>
  <si>
    <t>D10410</t>
  </si>
  <si>
    <t>D10411</t>
  </si>
  <si>
    <t>DL-10412</t>
  </si>
  <si>
    <t>D10413</t>
  </si>
  <si>
    <t>D10414</t>
  </si>
  <si>
    <t>D10415</t>
  </si>
  <si>
    <t>D10416</t>
  </si>
  <si>
    <t>D10417</t>
  </si>
  <si>
    <t>D10418</t>
  </si>
  <si>
    <t>D10419</t>
  </si>
  <si>
    <t>D10420</t>
  </si>
  <si>
    <t>D10421</t>
  </si>
  <si>
    <t>D10422</t>
  </si>
  <si>
    <t>D10423</t>
  </si>
  <si>
    <t>D10424</t>
  </si>
  <si>
    <t>DL-10425</t>
  </si>
  <si>
    <t>D10426</t>
  </si>
  <si>
    <t>D10427</t>
  </si>
  <si>
    <t>D10428</t>
  </si>
  <si>
    <t>D10429</t>
  </si>
  <si>
    <t>D10430</t>
  </si>
  <si>
    <t>D10431</t>
  </si>
  <si>
    <t>DL-10432</t>
  </si>
  <si>
    <t>D10433</t>
  </si>
  <si>
    <t>D10434</t>
  </si>
  <si>
    <t>D10435</t>
  </si>
  <si>
    <t>D10436</t>
  </si>
  <si>
    <t>D10437</t>
  </si>
  <si>
    <t>D10438</t>
  </si>
  <si>
    <t>D10439</t>
  </si>
  <si>
    <t>D10440</t>
  </si>
  <si>
    <t>D10441</t>
  </si>
  <si>
    <t>D10442</t>
  </si>
  <si>
    <t>D10443</t>
  </si>
  <si>
    <t>D10444</t>
  </si>
  <si>
    <t>D10445</t>
  </si>
  <si>
    <t>D10446</t>
  </si>
  <si>
    <t>D10447</t>
  </si>
  <si>
    <t>D10448</t>
  </si>
  <si>
    <t>D10449</t>
  </si>
  <si>
    <t>D10450</t>
  </si>
  <si>
    <t>D20647</t>
  </si>
  <si>
    <t/>
  </si>
  <si>
    <t>D20586</t>
  </si>
  <si>
    <t>D20930</t>
  </si>
  <si>
    <t>D20730</t>
  </si>
  <si>
    <t>D20433</t>
  </si>
  <si>
    <t>D20360</t>
  </si>
  <si>
    <t>D20221</t>
  </si>
  <si>
    <t>D20467</t>
  </si>
  <si>
    <t>D20673</t>
  </si>
  <si>
    <t>D20112</t>
  </si>
  <si>
    <t>D20992</t>
  </si>
  <si>
    <t>rep_name</t>
  </si>
  <si>
    <t>team</t>
  </si>
  <si>
    <t>Ava Patel</t>
  </si>
  <si>
    <t>SMB</t>
  </si>
  <si>
    <t>Marcus Chen</t>
  </si>
  <si>
    <t>Sofia Ramirez</t>
  </si>
  <si>
    <t>Mid-Market</t>
  </si>
  <si>
    <t>Ethan Brooks</t>
  </si>
  <si>
    <t>Priya Nair</t>
  </si>
  <si>
    <t>Jordan Kim</t>
  </si>
  <si>
    <t>Noah Thompson</t>
  </si>
  <si>
    <t>Isabella Garcia</t>
  </si>
  <si>
    <t>Liam Johnson</t>
  </si>
  <si>
    <t>Enterprise</t>
  </si>
  <si>
    <t>Maya Singh</t>
  </si>
  <si>
    <t>Daniel Wright</t>
  </si>
  <si>
    <t>Chloe Nguyen</t>
  </si>
  <si>
    <t>Lucas Martinez</t>
  </si>
  <si>
    <t>Amelia Davis</t>
  </si>
  <si>
    <t>Henry Walker</t>
  </si>
  <si>
    <t>Grace Lee</t>
  </si>
  <si>
    <t>Owen Carter</t>
  </si>
  <si>
    <t>Zoe Adams</t>
  </si>
  <si>
    <t>Nathan Scott</t>
  </si>
  <si>
    <t>Ella Rivera</t>
  </si>
  <si>
    <t>sort_order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</si>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</sst>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B1E01E-2F00-4958-86E3-96DC1617C793}" autoFormatId="16" applyNumberFormats="0" applyBorderFormats="0" applyFontFormats="0" applyPatternFormats="0" applyAlignmentFormats="0" applyWidthHeightFormats="0">
  <queryTableRefresh nextId="5">
    <queryTableFields count="4">
      <queryTableField id="1" name="rep_id" tableColumnId="1"/>
      <queryTableField id="2" name="rep_name" tableColumnId="2"/>
      <queryTableField id="3" name="team" tableColumnId="3"/>
      <queryTableField id="4" name="region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Pipeline_Deals" displayName="Sales_Pipeline_Deals" ref="A1:I463">
  <autoFilter ref="A1:I463" xr:uid="{00000000-0009-0000-0100-000001000000}"/>
  <tableColumns count="9">
    <tableColumn id="1" xr3:uid="{00000000-0010-0000-0000-000001000000}" name="deal_id"/>
    <tableColumn id="2" xr3:uid="{00000000-0010-0000-0000-000002000000}" name="rep_id"/>
    <tableColumn id="3" xr3:uid="{00000000-0010-0000-0000-000003000000}" name="stage"/>
    <tableColumn id="11" xr3:uid="{E6618FE2-84D2-4A84-9018-748323209B40}" name="sort_order" dataDxfId="4">
      <calculatedColumnFormula>_xlfn.XLOOKUP(C2, stage_mapping!$A$1:$A$8, stage_mapping!$B$1:$B$8)</calculatedColumnFormula>
    </tableColumn>
    <tableColumn id="4" xr3:uid="{00000000-0010-0000-0000-000004000000}" name="deal_value"/>
    <tableColumn id="5" xr3:uid="{00000000-0010-0000-0000-000005000000}" name="lead_source"/>
    <tableColumn id="6" xr3:uid="{00000000-0010-0000-0000-000006000000}" name="region"/>
    <tableColumn id="7" xr3:uid="{00000000-0010-0000-0000-000007000000}" name="created_date"/>
    <tableColumn id="8" xr3:uid="{00000000-0010-0000-0000-000008000000}" name="closed_da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11CA45-6F98-462F-AB58-8C73515DFEA9}" name="sales_reps_1" displayName="sales_reps_1" ref="A1:D21" tableType="queryTable" totalsRowShown="0">
  <autoFilter ref="A1:D21" xr:uid="{AE11CA45-6F98-462F-AB58-8C73515DFEA9}"/>
  <tableColumns count="4">
    <tableColumn id="1" xr3:uid="{A05EB266-A433-46E0-AC8E-259B41BCE9B0}" uniqueName="1" name="rep_id" queryTableFieldId="1" dataDxfId="3"/>
    <tableColumn id="2" xr3:uid="{91AFABAF-B02E-4521-9A98-3AFD24FA0634}" uniqueName="2" name="rep_name" queryTableFieldId="2" dataDxfId="2"/>
    <tableColumn id="3" xr3:uid="{993A19DD-BE88-449A-8EB4-8BECD10D590F}" uniqueName="3" name="team" queryTableFieldId="3" dataDxfId="1"/>
    <tableColumn id="4" xr3:uid="{BE298EFF-99EA-4BAF-B369-8357920696BE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zoomScaleNormal="100" workbookViewId="0">
      <selection activeCell="D2" sqref="D2"/>
    </sheetView>
  </sheetViews>
  <sheetFormatPr defaultRowHeight="15" x14ac:dyDescent="0.25"/>
  <cols>
    <col min="1" max="1" width="9.85546875" bestFit="1" customWidth="1"/>
    <col min="2" max="2" width="9" bestFit="1" customWidth="1"/>
    <col min="3" max="3" width="15.5703125" bestFit="1" customWidth="1"/>
    <col min="4" max="4" width="15.5703125" customWidth="1"/>
    <col min="5" max="5" width="13" bestFit="1" customWidth="1"/>
    <col min="6" max="6" width="15.140625" bestFit="1" customWidth="1"/>
    <col min="7" max="7" width="9" customWidth="1"/>
    <col min="8" max="8" width="15" customWidth="1"/>
    <col min="9" max="9" width="14" bestFit="1" customWidth="1"/>
    <col min="11" max="11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534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>
        <f>_xlfn.XLOOKUP(C2, stage_mapping!$A$1:$A$8, stage_mapping!$B$1:$B$8)</f>
        <v>1</v>
      </c>
      <c r="E2">
        <v>62605</v>
      </c>
      <c r="F2" t="s">
        <v>11</v>
      </c>
      <c r="G2" t="s">
        <v>12</v>
      </c>
      <c r="H2" s="1">
        <v>45588</v>
      </c>
      <c r="I2" s="1"/>
    </row>
    <row r="3" spans="1:9" x14ac:dyDescent="0.25">
      <c r="A3" t="s">
        <v>13</v>
      </c>
      <c r="B3" t="s">
        <v>14</v>
      </c>
      <c r="C3" t="s">
        <v>15</v>
      </c>
      <c r="D3">
        <f>_xlfn.XLOOKUP(C3, stage_mapping!$A$1:$A$8, stage_mapping!$B$1:$B$8)</f>
        <v>2</v>
      </c>
      <c r="E3">
        <v>40246</v>
      </c>
      <c r="F3" t="s">
        <v>16</v>
      </c>
      <c r="G3" t="s">
        <v>17</v>
      </c>
      <c r="H3" s="1">
        <v>45996</v>
      </c>
      <c r="I3" s="1"/>
    </row>
    <row r="4" spans="1:9" x14ac:dyDescent="0.25">
      <c r="A4" t="s">
        <v>18</v>
      </c>
      <c r="B4" t="s">
        <v>19</v>
      </c>
      <c r="C4" t="s">
        <v>15</v>
      </c>
      <c r="D4">
        <f>_xlfn.XLOOKUP(C4, stage_mapping!$A$1:$A$8, stage_mapping!$B$1:$B$8)</f>
        <v>2</v>
      </c>
      <c r="E4">
        <v>62608</v>
      </c>
      <c r="F4" t="s">
        <v>20</v>
      </c>
      <c r="G4" t="s">
        <v>21</v>
      </c>
      <c r="H4" s="1">
        <v>45561</v>
      </c>
      <c r="I4" s="1"/>
    </row>
    <row r="5" spans="1:9" x14ac:dyDescent="0.25">
      <c r="A5" t="s">
        <v>22</v>
      </c>
      <c r="B5" t="s">
        <v>23</v>
      </c>
      <c r="C5" t="s">
        <v>24</v>
      </c>
      <c r="D5">
        <f>_xlfn.XLOOKUP(C5, stage_mapping!$A$1:$A$8, stage_mapping!$B$1:$B$8)</f>
        <v>8</v>
      </c>
      <c r="E5">
        <v>29</v>
      </c>
      <c r="F5" t="s">
        <v>16</v>
      </c>
      <c r="G5" t="s">
        <v>25</v>
      </c>
      <c r="H5" s="1">
        <v>45858</v>
      </c>
      <c r="I5" s="1">
        <v>45909</v>
      </c>
    </row>
    <row r="6" spans="1:9" x14ac:dyDescent="0.25">
      <c r="A6" t="s">
        <v>26</v>
      </c>
      <c r="B6" t="s">
        <v>27</v>
      </c>
      <c r="C6" t="s">
        <v>15</v>
      </c>
      <c r="D6">
        <f>_xlfn.XLOOKUP(C6, stage_mapping!$A$1:$A$8, stage_mapping!$B$1:$B$8)</f>
        <v>2</v>
      </c>
      <c r="E6">
        <v>8840</v>
      </c>
      <c r="F6" t="s">
        <v>28</v>
      </c>
      <c r="G6" t="s">
        <v>29</v>
      </c>
      <c r="H6" s="1">
        <v>45915</v>
      </c>
      <c r="I6" s="1"/>
    </row>
    <row r="7" spans="1:9" x14ac:dyDescent="0.25">
      <c r="A7" t="s">
        <v>30</v>
      </c>
      <c r="B7" t="s">
        <v>31</v>
      </c>
      <c r="C7" t="s">
        <v>10</v>
      </c>
      <c r="D7">
        <f>_xlfn.XLOOKUP(C7, stage_mapping!$A$1:$A$8, stage_mapping!$B$1:$B$8)</f>
        <v>1</v>
      </c>
      <c r="E7">
        <v>3531</v>
      </c>
      <c r="F7" t="s">
        <v>32</v>
      </c>
      <c r="G7" t="s">
        <v>21</v>
      </c>
      <c r="H7" s="1">
        <v>45362</v>
      </c>
      <c r="I7" s="1"/>
    </row>
    <row r="8" spans="1:9" x14ac:dyDescent="0.25">
      <c r="A8" t="s">
        <v>33</v>
      </c>
      <c r="B8" t="s">
        <v>34</v>
      </c>
      <c r="C8" t="s">
        <v>35</v>
      </c>
      <c r="D8">
        <f>_xlfn.XLOOKUP(C8, stage_mapping!$A$1:$A$8, stage_mapping!$B$1:$B$8)</f>
        <v>4</v>
      </c>
      <c r="E8">
        <v>21102</v>
      </c>
      <c r="F8" t="s">
        <v>535</v>
      </c>
      <c r="G8" t="s">
        <v>17</v>
      </c>
      <c r="H8" s="1">
        <v>45415</v>
      </c>
      <c r="I8" s="1">
        <v>45490</v>
      </c>
    </row>
    <row r="9" spans="1:9" x14ac:dyDescent="0.25">
      <c r="A9" t="s">
        <v>36</v>
      </c>
      <c r="B9" t="s">
        <v>37</v>
      </c>
      <c r="C9" t="s">
        <v>15</v>
      </c>
      <c r="D9">
        <f>_xlfn.XLOOKUP(C9, stage_mapping!$A$1:$A$8, stage_mapping!$B$1:$B$8)</f>
        <v>2</v>
      </c>
      <c r="E9">
        <v>18282</v>
      </c>
      <c r="F9" t="s">
        <v>535</v>
      </c>
      <c r="G9" t="s">
        <v>29</v>
      </c>
      <c r="H9" s="1">
        <v>45876</v>
      </c>
      <c r="I9" s="1"/>
    </row>
    <row r="10" spans="1:9" x14ac:dyDescent="0.25">
      <c r="A10" t="s">
        <v>38</v>
      </c>
      <c r="B10" t="s">
        <v>39</v>
      </c>
      <c r="C10" t="s">
        <v>10</v>
      </c>
      <c r="D10">
        <f>_xlfn.XLOOKUP(C10, stage_mapping!$A$1:$A$8, stage_mapping!$B$1:$B$8)</f>
        <v>1</v>
      </c>
      <c r="E10">
        <v>14155</v>
      </c>
      <c r="F10" t="s">
        <v>28</v>
      </c>
      <c r="G10" t="s">
        <v>12</v>
      </c>
      <c r="H10" s="1">
        <v>45841</v>
      </c>
      <c r="I10" s="1"/>
    </row>
    <row r="11" spans="1:9" x14ac:dyDescent="0.25">
      <c r="A11" t="s">
        <v>40</v>
      </c>
      <c r="B11" t="s">
        <v>27</v>
      </c>
      <c r="C11" t="s">
        <v>35</v>
      </c>
      <c r="D11">
        <f>_xlfn.XLOOKUP(C11, stage_mapping!$A$1:$A$8, stage_mapping!$B$1:$B$8)</f>
        <v>4</v>
      </c>
      <c r="E11">
        <v>5434</v>
      </c>
      <c r="F11" t="s">
        <v>20</v>
      </c>
      <c r="G11" t="s">
        <v>29</v>
      </c>
      <c r="H11" s="1">
        <v>45680</v>
      </c>
      <c r="I11" s="1"/>
    </row>
    <row r="12" spans="1:9" x14ac:dyDescent="0.25">
      <c r="A12" t="s">
        <v>41</v>
      </c>
      <c r="B12" t="s">
        <v>42</v>
      </c>
      <c r="C12" t="s">
        <v>35</v>
      </c>
      <c r="D12">
        <f>_xlfn.XLOOKUP(C12, stage_mapping!$A$1:$A$8, stage_mapping!$B$1:$B$8)</f>
        <v>4</v>
      </c>
      <c r="E12">
        <v>5449</v>
      </c>
      <c r="F12" t="s">
        <v>43</v>
      </c>
      <c r="G12" t="s">
        <v>17</v>
      </c>
      <c r="H12" s="1">
        <v>45350</v>
      </c>
      <c r="I12" s="1"/>
    </row>
    <row r="13" spans="1:9" x14ac:dyDescent="0.25">
      <c r="A13" t="s">
        <v>44</v>
      </c>
      <c r="B13" t="s">
        <v>45</v>
      </c>
      <c r="C13" t="s">
        <v>10</v>
      </c>
      <c r="D13">
        <f>_xlfn.XLOOKUP(C13, stage_mapping!$A$1:$A$8, stage_mapping!$B$1:$B$8)</f>
        <v>1</v>
      </c>
      <c r="E13">
        <v>18200</v>
      </c>
      <c r="F13" t="s">
        <v>11</v>
      </c>
      <c r="G13" t="s">
        <v>21</v>
      </c>
      <c r="H13" s="1">
        <v>45870</v>
      </c>
      <c r="I13" s="1"/>
    </row>
    <row r="14" spans="1:9" x14ac:dyDescent="0.25">
      <c r="A14" t="s">
        <v>46</v>
      </c>
      <c r="B14" t="s">
        <v>47</v>
      </c>
      <c r="C14" t="s">
        <v>10</v>
      </c>
      <c r="D14">
        <f>_xlfn.XLOOKUP(C14, stage_mapping!$A$1:$A$8, stage_mapping!$B$1:$B$8)</f>
        <v>1</v>
      </c>
      <c r="E14">
        <v>6716</v>
      </c>
      <c r="F14" t="s">
        <v>32</v>
      </c>
      <c r="G14" t="s">
        <v>17</v>
      </c>
      <c r="H14" s="1">
        <v>45563</v>
      </c>
      <c r="I14" s="1">
        <v>45599</v>
      </c>
    </row>
    <row r="15" spans="1:9" x14ac:dyDescent="0.25">
      <c r="A15" t="s">
        <v>48</v>
      </c>
      <c r="B15" t="s">
        <v>47</v>
      </c>
      <c r="C15" t="s">
        <v>49</v>
      </c>
      <c r="D15">
        <f>_xlfn.XLOOKUP(C15, stage_mapping!$A$1:$A$8, stage_mapping!$B$1:$B$8)</f>
        <v>6</v>
      </c>
      <c r="E15">
        <v>20453</v>
      </c>
      <c r="F15" t="s">
        <v>20</v>
      </c>
      <c r="G15" t="s">
        <v>17</v>
      </c>
      <c r="H15" s="1">
        <v>45429</v>
      </c>
      <c r="I15" s="1"/>
    </row>
    <row r="16" spans="1:9" x14ac:dyDescent="0.25">
      <c r="A16" t="s">
        <v>50</v>
      </c>
      <c r="B16" t="s">
        <v>37</v>
      </c>
      <c r="C16" t="s">
        <v>35</v>
      </c>
      <c r="D16">
        <f>_xlfn.XLOOKUP(C16, stage_mapping!$A$1:$A$8, stage_mapping!$B$1:$B$8)</f>
        <v>4</v>
      </c>
      <c r="E16">
        <v>8256</v>
      </c>
      <c r="F16" t="s">
        <v>11</v>
      </c>
      <c r="G16" t="s">
        <v>29</v>
      </c>
      <c r="H16" s="1">
        <v>45560</v>
      </c>
      <c r="I16" s="1"/>
    </row>
    <row r="17" spans="1:9" x14ac:dyDescent="0.25">
      <c r="A17" t="s">
        <v>51</v>
      </c>
      <c r="B17" t="s">
        <v>23</v>
      </c>
      <c r="C17" t="s">
        <v>24</v>
      </c>
      <c r="D17">
        <f>_xlfn.XLOOKUP(C17, stage_mapping!$A$1:$A$8, stage_mapping!$B$1:$B$8)</f>
        <v>8</v>
      </c>
      <c r="E17">
        <v>23107</v>
      </c>
      <c r="F17" t="s">
        <v>16</v>
      </c>
      <c r="G17" t="s">
        <v>12</v>
      </c>
      <c r="H17" s="1">
        <v>45332</v>
      </c>
      <c r="I17" s="1">
        <v>45398</v>
      </c>
    </row>
    <row r="18" spans="1:9" x14ac:dyDescent="0.25">
      <c r="A18" t="s">
        <v>52</v>
      </c>
      <c r="B18" t="s">
        <v>27</v>
      </c>
      <c r="C18" t="s">
        <v>53</v>
      </c>
      <c r="D18">
        <f>_xlfn.XLOOKUP(C18, stage_mapping!$A$1:$A$8, stage_mapping!$B$1:$B$8)</f>
        <v>7</v>
      </c>
      <c r="E18">
        <v>19913</v>
      </c>
      <c r="F18" t="s">
        <v>11</v>
      </c>
      <c r="G18" t="s">
        <v>29</v>
      </c>
      <c r="H18" s="1">
        <v>45713</v>
      </c>
      <c r="I18" s="1">
        <v>45773</v>
      </c>
    </row>
    <row r="19" spans="1:9" x14ac:dyDescent="0.25">
      <c r="A19" t="s">
        <v>54</v>
      </c>
      <c r="B19" t="s">
        <v>31</v>
      </c>
      <c r="C19" t="s">
        <v>35</v>
      </c>
      <c r="D19">
        <f>_xlfn.XLOOKUP(C19, stage_mapping!$A$1:$A$8, stage_mapping!$B$1:$B$8)</f>
        <v>4</v>
      </c>
      <c r="E19">
        <v>8315</v>
      </c>
      <c r="F19" t="s">
        <v>11</v>
      </c>
      <c r="G19" t="s">
        <v>21</v>
      </c>
      <c r="H19" s="1">
        <v>45577</v>
      </c>
      <c r="I19" s="1"/>
    </row>
    <row r="20" spans="1:9" x14ac:dyDescent="0.25">
      <c r="A20" t="s">
        <v>55</v>
      </c>
      <c r="B20" t="s">
        <v>56</v>
      </c>
      <c r="C20" t="s">
        <v>35</v>
      </c>
      <c r="D20">
        <f>_xlfn.XLOOKUP(C20, stage_mapping!$A$1:$A$8, stage_mapping!$B$1:$B$8)</f>
        <v>4</v>
      </c>
      <c r="E20">
        <v>13805</v>
      </c>
      <c r="F20" t="s">
        <v>535</v>
      </c>
      <c r="G20" t="s">
        <v>17</v>
      </c>
      <c r="H20" s="1">
        <v>45815</v>
      </c>
      <c r="I20" s="1"/>
    </row>
    <row r="21" spans="1:9" x14ac:dyDescent="0.25">
      <c r="A21" t="s">
        <v>57</v>
      </c>
      <c r="B21" t="s">
        <v>56</v>
      </c>
      <c r="C21" t="s">
        <v>49</v>
      </c>
      <c r="D21">
        <f>_xlfn.XLOOKUP(C21, stage_mapping!$A$1:$A$8, stage_mapping!$B$1:$B$8)</f>
        <v>6</v>
      </c>
      <c r="E21">
        <v>11550</v>
      </c>
      <c r="F21" t="s">
        <v>43</v>
      </c>
      <c r="G21" t="s">
        <v>17</v>
      </c>
      <c r="H21" s="1">
        <v>46005</v>
      </c>
      <c r="I21" s="1"/>
    </row>
    <row r="22" spans="1:9" x14ac:dyDescent="0.25">
      <c r="A22" t="s">
        <v>58</v>
      </c>
      <c r="B22" t="s">
        <v>34</v>
      </c>
      <c r="C22" t="s">
        <v>35</v>
      </c>
      <c r="D22">
        <f>_xlfn.XLOOKUP(C22, stage_mapping!$A$1:$A$8, stage_mapping!$B$1:$B$8)</f>
        <v>4</v>
      </c>
      <c r="E22">
        <v>14340</v>
      </c>
      <c r="F22" t="s">
        <v>43</v>
      </c>
      <c r="G22" t="s">
        <v>17</v>
      </c>
      <c r="H22" s="1">
        <v>45983</v>
      </c>
      <c r="I22" s="1"/>
    </row>
    <row r="23" spans="1:9" x14ac:dyDescent="0.25">
      <c r="A23" t="s">
        <v>59</v>
      </c>
      <c r="B23" t="s">
        <v>34</v>
      </c>
      <c r="C23" t="s">
        <v>10</v>
      </c>
      <c r="D23">
        <f>_xlfn.XLOOKUP(C23, stage_mapping!$A$1:$A$8, stage_mapping!$B$1:$B$8)</f>
        <v>1</v>
      </c>
      <c r="E23">
        <v>23321</v>
      </c>
      <c r="F23" t="s">
        <v>11</v>
      </c>
      <c r="G23" t="s">
        <v>17</v>
      </c>
      <c r="H23" s="1">
        <v>45917</v>
      </c>
      <c r="I23" s="1"/>
    </row>
    <row r="24" spans="1:9" x14ac:dyDescent="0.25">
      <c r="A24" t="s">
        <v>60</v>
      </c>
      <c r="B24" t="s">
        <v>23</v>
      </c>
      <c r="C24" t="s">
        <v>10</v>
      </c>
      <c r="D24">
        <f>_xlfn.XLOOKUP(C24, stage_mapping!$A$1:$A$8, stage_mapping!$B$1:$B$8)</f>
        <v>1</v>
      </c>
      <c r="E24">
        <v>8231</v>
      </c>
      <c r="F24" t="s">
        <v>43</v>
      </c>
      <c r="G24" t="s">
        <v>12</v>
      </c>
      <c r="H24" s="1">
        <v>45416</v>
      </c>
      <c r="I24" s="1"/>
    </row>
    <row r="25" spans="1:9" x14ac:dyDescent="0.25">
      <c r="A25" t="s">
        <v>61</v>
      </c>
      <c r="B25" t="s">
        <v>14</v>
      </c>
      <c r="C25" t="s">
        <v>35</v>
      </c>
      <c r="D25">
        <f>_xlfn.XLOOKUP(C25, stage_mapping!$A$1:$A$8, stage_mapping!$B$1:$B$8)</f>
        <v>4</v>
      </c>
      <c r="E25">
        <v>51292</v>
      </c>
      <c r="F25" t="s">
        <v>535</v>
      </c>
      <c r="G25" t="s">
        <v>17</v>
      </c>
      <c r="H25" s="1">
        <v>45545</v>
      </c>
      <c r="I25" s="1"/>
    </row>
    <row r="26" spans="1:9" x14ac:dyDescent="0.25">
      <c r="A26" t="s">
        <v>62</v>
      </c>
      <c r="B26" t="s">
        <v>63</v>
      </c>
      <c r="C26" t="s">
        <v>53</v>
      </c>
      <c r="D26">
        <f>_xlfn.XLOOKUP(C26, stage_mapping!$A$1:$A$8, stage_mapping!$B$1:$B$8)</f>
        <v>7</v>
      </c>
      <c r="E26">
        <v>7753</v>
      </c>
      <c r="F26" t="s">
        <v>535</v>
      </c>
      <c r="G26" t="s">
        <v>17</v>
      </c>
      <c r="H26" s="1">
        <v>45709</v>
      </c>
      <c r="I26" s="1">
        <v>45755</v>
      </c>
    </row>
    <row r="27" spans="1:9" x14ac:dyDescent="0.25">
      <c r="A27" t="s">
        <v>64</v>
      </c>
      <c r="B27" t="s">
        <v>65</v>
      </c>
      <c r="C27" t="s">
        <v>24</v>
      </c>
      <c r="D27">
        <f>_xlfn.XLOOKUP(C27, stage_mapping!$A$1:$A$8, stage_mapping!$B$1:$B$8)</f>
        <v>8</v>
      </c>
      <c r="E27">
        <v>15447</v>
      </c>
      <c r="F27" t="s">
        <v>28</v>
      </c>
      <c r="G27" t="s">
        <v>25</v>
      </c>
      <c r="H27" s="1">
        <v>45851</v>
      </c>
      <c r="I27" s="1">
        <v>45897</v>
      </c>
    </row>
    <row r="28" spans="1:9" x14ac:dyDescent="0.25">
      <c r="A28" t="s">
        <v>66</v>
      </c>
      <c r="B28" t="s">
        <v>19</v>
      </c>
      <c r="C28" t="s">
        <v>49</v>
      </c>
      <c r="D28">
        <f>_xlfn.XLOOKUP(C28, stage_mapping!$A$1:$A$8, stage_mapping!$B$1:$B$8)</f>
        <v>6</v>
      </c>
      <c r="E28">
        <v>18.399999999999999</v>
      </c>
      <c r="F28" t="s">
        <v>11</v>
      </c>
      <c r="G28" t="s">
        <v>29</v>
      </c>
      <c r="H28" s="1">
        <v>45764</v>
      </c>
      <c r="I28" s="1"/>
    </row>
    <row r="29" spans="1:9" x14ac:dyDescent="0.25">
      <c r="A29" t="s">
        <v>67</v>
      </c>
      <c r="B29" t="s">
        <v>68</v>
      </c>
      <c r="C29" t="s">
        <v>24</v>
      </c>
      <c r="D29">
        <f>_xlfn.XLOOKUP(C29, stage_mapping!$A$1:$A$8, stage_mapping!$B$1:$B$8)</f>
        <v>8</v>
      </c>
      <c r="E29">
        <v>45099</v>
      </c>
      <c r="F29" t="s">
        <v>11</v>
      </c>
      <c r="G29" t="s">
        <v>12</v>
      </c>
      <c r="H29" s="1">
        <v>45362</v>
      </c>
      <c r="I29" s="1">
        <v>45435</v>
      </c>
    </row>
    <row r="30" spans="1:9" x14ac:dyDescent="0.25">
      <c r="A30" t="s">
        <v>69</v>
      </c>
      <c r="B30" t="s">
        <v>70</v>
      </c>
      <c r="C30" t="s">
        <v>71</v>
      </c>
      <c r="D30">
        <f>_xlfn.XLOOKUP(C30, stage_mapping!$A$1:$A$8, stage_mapping!$B$1:$B$8)</f>
        <v>5</v>
      </c>
      <c r="E30">
        <v>17838</v>
      </c>
      <c r="F30" t="s">
        <v>11</v>
      </c>
      <c r="G30" t="s">
        <v>21</v>
      </c>
      <c r="H30" s="1">
        <v>45409</v>
      </c>
      <c r="I30" s="1"/>
    </row>
    <row r="31" spans="1:9" x14ac:dyDescent="0.25">
      <c r="A31" t="s">
        <v>72</v>
      </c>
      <c r="B31" t="s">
        <v>45</v>
      </c>
      <c r="C31" t="s">
        <v>53</v>
      </c>
      <c r="D31">
        <f>_xlfn.XLOOKUP(C31, stage_mapping!$A$1:$A$8, stage_mapping!$B$1:$B$8)</f>
        <v>7</v>
      </c>
      <c r="E31">
        <v>16621</v>
      </c>
      <c r="F31" t="s">
        <v>20</v>
      </c>
      <c r="G31" t="s">
        <v>21</v>
      </c>
      <c r="H31" s="1">
        <v>45992</v>
      </c>
      <c r="I31" s="1">
        <v>46070</v>
      </c>
    </row>
    <row r="32" spans="1:9" x14ac:dyDescent="0.25">
      <c r="A32" t="s">
        <v>73</v>
      </c>
      <c r="B32" t="s">
        <v>23</v>
      </c>
      <c r="C32" t="s">
        <v>15</v>
      </c>
      <c r="D32">
        <f>_xlfn.XLOOKUP(C32, stage_mapping!$A$1:$A$8, stage_mapping!$B$1:$B$8)</f>
        <v>2</v>
      </c>
      <c r="E32">
        <v>2837</v>
      </c>
      <c r="F32" t="s">
        <v>11</v>
      </c>
      <c r="G32" t="s">
        <v>21</v>
      </c>
      <c r="H32" s="1">
        <v>45958</v>
      </c>
      <c r="I32" s="1"/>
    </row>
    <row r="33" spans="1:9" x14ac:dyDescent="0.25">
      <c r="A33" t="s">
        <v>74</v>
      </c>
      <c r="B33" t="s">
        <v>70</v>
      </c>
      <c r="C33" t="s">
        <v>49</v>
      </c>
      <c r="D33">
        <f>_xlfn.XLOOKUP(C33, stage_mapping!$A$1:$A$8, stage_mapping!$B$1:$B$8)</f>
        <v>6</v>
      </c>
      <c r="E33">
        <v>17927</v>
      </c>
      <c r="F33" t="s">
        <v>43</v>
      </c>
      <c r="G33" t="s">
        <v>21</v>
      </c>
      <c r="H33" s="1">
        <v>45798</v>
      </c>
      <c r="I33" s="1"/>
    </row>
    <row r="34" spans="1:9" x14ac:dyDescent="0.25">
      <c r="A34" t="s">
        <v>75</v>
      </c>
      <c r="B34" t="s">
        <v>23</v>
      </c>
      <c r="C34" t="s">
        <v>49</v>
      </c>
      <c r="D34">
        <f>_xlfn.XLOOKUP(C34, stage_mapping!$A$1:$A$8, stage_mapping!$B$1:$B$8)</f>
        <v>6</v>
      </c>
      <c r="E34">
        <v>6053</v>
      </c>
      <c r="F34" t="s">
        <v>535</v>
      </c>
      <c r="G34" t="s">
        <v>12</v>
      </c>
      <c r="H34" s="1">
        <v>45309</v>
      </c>
      <c r="I34" s="1"/>
    </row>
    <row r="35" spans="1:9" x14ac:dyDescent="0.25">
      <c r="A35" t="s">
        <v>76</v>
      </c>
      <c r="B35" t="s">
        <v>70</v>
      </c>
      <c r="C35" t="s">
        <v>53</v>
      </c>
      <c r="D35">
        <f>_xlfn.XLOOKUP(C35, stage_mapping!$A$1:$A$8, stage_mapping!$B$1:$B$8)</f>
        <v>7</v>
      </c>
      <c r="E35">
        <v>3513</v>
      </c>
      <c r="F35" t="s">
        <v>20</v>
      </c>
      <c r="G35" t="s">
        <v>21</v>
      </c>
      <c r="H35" s="1">
        <v>45840</v>
      </c>
      <c r="I35" s="1">
        <v>45893</v>
      </c>
    </row>
    <row r="36" spans="1:9" x14ac:dyDescent="0.25">
      <c r="A36" t="s">
        <v>77</v>
      </c>
      <c r="B36" t="s">
        <v>65</v>
      </c>
      <c r="C36" t="s">
        <v>15</v>
      </c>
      <c r="D36">
        <f>_xlfn.XLOOKUP(C36, stage_mapping!$A$1:$A$8, stage_mapping!$B$1:$B$8)</f>
        <v>2</v>
      </c>
      <c r="E36">
        <v>14015</v>
      </c>
      <c r="F36" t="s">
        <v>535</v>
      </c>
      <c r="G36" t="s">
        <v>12</v>
      </c>
      <c r="H36" s="1">
        <v>45347</v>
      </c>
      <c r="I36" s="1"/>
    </row>
    <row r="37" spans="1:9" x14ac:dyDescent="0.25">
      <c r="A37" t="s">
        <v>78</v>
      </c>
      <c r="B37" t="s">
        <v>79</v>
      </c>
      <c r="C37" t="s">
        <v>35</v>
      </c>
      <c r="D37">
        <f>_xlfn.XLOOKUP(C37, stage_mapping!$A$1:$A$8, stage_mapping!$B$1:$B$8)</f>
        <v>4</v>
      </c>
      <c r="E37">
        <v>52734</v>
      </c>
      <c r="F37" t="s">
        <v>28</v>
      </c>
      <c r="G37" t="s">
        <v>21</v>
      </c>
      <c r="H37" s="1">
        <v>45936</v>
      </c>
      <c r="I37" s="1"/>
    </row>
    <row r="38" spans="1:9" x14ac:dyDescent="0.25">
      <c r="A38" t="s">
        <v>80</v>
      </c>
      <c r="B38" t="s">
        <v>81</v>
      </c>
      <c r="C38" t="s">
        <v>49</v>
      </c>
      <c r="D38">
        <f>_xlfn.XLOOKUP(C38, stage_mapping!$A$1:$A$8, stage_mapping!$B$1:$B$8)</f>
        <v>6</v>
      </c>
      <c r="E38">
        <v>30037</v>
      </c>
      <c r="F38" t="s">
        <v>20</v>
      </c>
      <c r="G38" t="s">
        <v>17</v>
      </c>
      <c r="H38" s="1">
        <v>45874</v>
      </c>
      <c r="I38" s="1"/>
    </row>
    <row r="39" spans="1:9" x14ac:dyDescent="0.25">
      <c r="A39" t="s">
        <v>82</v>
      </c>
      <c r="B39" t="s">
        <v>23</v>
      </c>
      <c r="C39" t="s">
        <v>10</v>
      </c>
      <c r="D39">
        <f>_xlfn.XLOOKUP(C39, stage_mapping!$A$1:$A$8, stage_mapping!$B$1:$B$8)</f>
        <v>1</v>
      </c>
      <c r="E39">
        <v>19.7</v>
      </c>
      <c r="F39" t="s">
        <v>16</v>
      </c>
      <c r="G39" t="s">
        <v>12</v>
      </c>
      <c r="H39" s="1">
        <v>45581</v>
      </c>
      <c r="I39" s="1"/>
    </row>
    <row r="40" spans="1:9" x14ac:dyDescent="0.25">
      <c r="A40" t="s">
        <v>83</v>
      </c>
      <c r="B40" t="s">
        <v>63</v>
      </c>
      <c r="C40" t="s">
        <v>53</v>
      </c>
      <c r="D40">
        <f>_xlfn.XLOOKUP(C40, stage_mapping!$A$1:$A$8, stage_mapping!$B$1:$B$8)</f>
        <v>7</v>
      </c>
      <c r="E40">
        <v>29496</v>
      </c>
      <c r="F40" t="s">
        <v>11</v>
      </c>
      <c r="G40" t="s">
        <v>29</v>
      </c>
      <c r="H40" s="1">
        <v>45874</v>
      </c>
      <c r="I40" s="1">
        <v>45911</v>
      </c>
    </row>
    <row r="41" spans="1:9" x14ac:dyDescent="0.25">
      <c r="A41" t="s">
        <v>84</v>
      </c>
      <c r="B41" t="s">
        <v>9</v>
      </c>
      <c r="C41" t="s">
        <v>53</v>
      </c>
      <c r="D41">
        <f>_xlfn.XLOOKUP(C41, stage_mapping!$A$1:$A$8, stage_mapping!$B$1:$B$8)</f>
        <v>7</v>
      </c>
      <c r="E41">
        <v>49459</v>
      </c>
      <c r="F41" t="s">
        <v>20</v>
      </c>
      <c r="G41" t="s">
        <v>12</v>
      </c>
      <c r="H41" s="1">
        <v>45893</v>
      </c>
      <c r="I41" s="1">
        <v>45955</v>
      </c>
    </row>
    <row r="42" spans="1:9" x14ac:dyDescent="0.25">
      <c r="A42" t="s">
        <v>85</v>
      </c>
      <c r="B42" t="s">
        <v>68</v>
      </c>
      <c r="C42" t="s">
        <v>35</v>
      </c>
      <c r="D42">
        <f>_xlfn.XLOOKUP(C42, stage_mapping!$A$1:$A$8, stage_mapping!$B$1:$B$8)</f>
        <v>4</v>
      </c>
      <c r="E42">
        <v>9237</v>
      </c>
      <c r="F42" t="s">
        <v>16</v>
      </c>
      <c r="G42" t="s">
        <v>21</v>
      </c>
      <c r="H42" s="1">
        <v>45456</v>
      </c>
      <c r="I42" s="1"/>
    </row>
    <row r="43" spans="1:9" x14ac:dyDescent="0.25">
      <c r="A43" t="s">
        <v>86</v>
      </c>
      <c r="B43" t="s">
        <v>81</v>
      </c>
      <c r="C43" t="s">
        <v>35</v>
      </c>
      <c r="D43">
        <f>_xlfn.XLOOKUP(C43, stage_mapping!$A$1:$A$8, stage_mapping!$B$1:$B$8)</f>
        <v>4</v>
      </c>
      <c r="E43">
        <v>11382</v>
      </c>
      <c r="F43" t="s">
        <v>28</v>
      </c>
      <c r="G43" t="s">
        <v>17</v>
      </c>
      <c r="H43" s="1">
        <v>45822</v>
      </c>
      <c r="I43" s="1"/>
    </row>
    <row r="44" spans="1:9" x14ac:dyDescent="0.25">
      <c r="A44" t="s">
        <v>87</v>
      </c>
      <c r="B44" t="s">
        <v>9</v>
      </c>
      <c r="C44" t="s">
        <v>49</v>
      </c>
      <c r="D44">
        <f>_xlfn.XLOOKUP(C44, stage_mapping!$A$1:$A$8, stage_mapping!$B$1:$B$8)</f>
        <v>6</v>
      </c>
      <c r="E44">
        <v>26133</v>
      </c>
      <c r="F44" t="s">
        <v>43</v>
      </c>
      <c r="G44" t="s">
        <v>29</v>
      </c>
      <c r="H44" s="1">
        <v>45408</v>
      </c>
      <c r="I44" s="1"/>
    </row>
    <row r="45" spans="1:9" x14ac:dyDescent="0.25">
      <c r="A45" t="s">
        <v>88</v>
      </c>
      <c r="B45" t="s">
        <v>14</v>
      </c>
      <c r="C45" t="s">
        <v>35</v>
      </c>
      <c r="D45">
        <f>_xlfn.XLOOKUP(C45, stage_mapping!$A$1:$A$8, stage_mapping!$B$1:$B$8)</f>
        <v>4</v>
      </c>
      <c r="E45">
        <v>9463</v>
      </c>
      <c r="F45" t="s">
        <v>32</v>
      </c>
      <c r="G45" t="s">
        <v>17</v>
      </c>
      <c r="H45" s="1">
        <v>45363</v>
      </c>
      <c r="I45" s="1"/>
    </row>
    <row r="46" spans="1:9" x14ac:dyDescent="0.25">
      <c r="A46" t="s">
        <v>89</v>
      </c>
      <c r="B46" t="s">
        <v>63</v>
      </c>
      <c r="C46" t="s">
        <v>49</v>
      </c>
      <c r="D46">
        <f>_xlfn.XLOOKUP(C46, stage_mapping!$A$1:$A$8, stage_mapping!$B$1:$B$8)</f>
        <v>6</v>
      </c>
      <c r="E46">
        <v>5460</v>
      </c>
      <c r="F46" t="s">
        <v>20</v>
      </c>
      <c r="G46" t="s">
        <v>17</v>
      </c>
      <c r="H46" s="1">
        <v>45758</v>
      </c>
      <c r="I46" s="1"/>
    </row>
    <row r="47" spans="1:9" x14ac:dyDescent="0.25">
      <c r="A47" t="s">
        <v>90</v>
      </c>
      <c r="B47" t="s">
        <v>68</v>
      </c>
      <c r="C47" t="s">
        <v>35</v>
      </c>
      <c r="D47">
        <f>_xlfn.XLOOKUP(C47, stage_mapping!$A$1:$A$8, stage_mapping!$B$1:$B$8)</f>
        <v>4</v>
      </c>
      <c r="E47">
        <v>8937</v>
      </c>
      <c r="F47" t="s">
        <v>32</v>
      </c>
      <c r="G47" t="s">
        <v>29</v>
      </c>
      <c r="H47" s="1">
        <v>45742</v>
      </c>
      <c r="I47" s="1"/>
    </row>
    <row r="48" spans="1:9" x14ac:dyDescent="0.25">
      <c r="A48" t="s">
        <v>91</v>
      </c>
      <c r="B48" t="s">
        <v>14</v>
      </c>
      <c r="C48" t="s">
        <v>53</v>
      </c>
      <c r="D48">
        <f>_xlfn.XLOOKUP(C48, stage_mapping!$A$1:$A$8, stage_mapping!$B$1:$B$8)</f>
        <v>7</v>
      </c>
      <c r="E48">
        <v>62894</v>
      </c>
      <c r="F48" t="s">
        <v>20</v>
      </c>
      <c r="G48" t="s">
        <v>17</v>
      </c>
      <c r="H48" s="1">
        <v>45524</v>
      </c>
      <c r="I48" s="1">
        <v>45610</v>
      </c>
    </row>
    <row r="49" spans="1:9" x14ac:dyDescent="0.25">
      <c r="A49" t="s">
        <v>92</v>
      </c>
      <c r="B49" t="s">
        <v>65</v>
      </c>
      <c r="C49" t="s">
        <v>71</v>
      </c>
      <c r="D49">
        <f>_xlfn.XLOOKUP(C49, stage_mapping!$A$1:$A$8, stage_mapping!$B$1:$B$8)</f>
        <v>5</v>
      </c>
      <c r="E49">
        <v>3943</v>
      </c>
      <c r="F49" t="s">
        <v>43</v>
      </c>
      <c r="G49" t="s">
        <v>12</v>
      </c>
      <c r="H49" s="1">
        <v>45466</v>
      </c>
      <c r="I49" s="1"/>
    </row>
    <row r="50" spans="1:9" x14ac:dyDescent="0.25">
      <c r="A50" t="s">
        <v>93</v>
      </c>
      <c r="B50" t="s">
        <v>70</v>
      </c>
      <c r="C50" t="s">
        <v>35</v>
      </c>
      <c r="D50">
        <f>_xlfn.XLOOKUP(C50, stage_mapping!$A$1:$A$8, stage_mapping!$B$1:$B$8)</f>
        <v>4</v>
      </c>
      <c r="E50">
        <v>11698</v>
      </c>
      <c r="F50" t="s">
        <v>16</v>
      </c>
      <c r="G50" t="s">
        <v>29</v>
      </c>
      <c r="H50" s="1">
        <v>45946</v>
      </c>
      <c r="I50" s="1"/>
    </row>
    <row r="51" spans="1:9" x14ac:dyDescent="0.25">
      <c r="A51" t="s">
        <v>94</v>
      </c>
      <c r="B51" t="s">
        <v>79</v>
      </c>
      <c r="C51" t="s">
        <v>24</v>
      </c>
      <c r="D51">
        <f>_xlfn.XLOOKUP(C51, stage_mapping!$A$1:$A$8, stage_mapping!$B$1:$B$8)</f>
        <v>8</v>
      </c>
      <c r="E51">
        <v>44831</v>
      </c>
      <c r="F51" t="s">
        <v>535</v>
      </c>
      <c r="G51" t="s">
        <v>12</v>
      </c>
      <c r="H51" s="1">
        <v>45800</v>
      </c>
      <c r="I51" s="1">
        <v>45891</v>
      </c>
    </row>
    <row r="52" spans="1:9" x14ac:dyDescent="0.25">
      <c r="A52" t="s">
        <v>95</v>
      </c>
      <c r="B52" t="s">
        <v>63</v>
      </c>
      <c r="C52" t="s">
        <v>35</v>
      </c>
      <c r="D52">
        <f>_xlfn.XLOOKUP(C52, stage_mapping!$A$1:$A$8, stage_mapping!$B$1:$B$8)</f>
        <v>4</v>
      </c>
      <c r="E52">
        <v>9407</v>
      </c>
      <c r="F52" t="s">
        <v>535</v>
      </c>
      <c r="G52" t="s">
        <v>17</v>
      </c>
      <c r="H52" s="1">
        <v>45885</v>
      </c>
      <c r="I52" s="1"/>
    </row>
    <row r="53" spans="1:9" x14ac:dyDescent="0.25">
      <c r="A53" t="s">
        <v>96</v>
      </c>
      <c r="B53" t="s">
        <v>27</v>
      </c>
      <c r="C53" t="s">
        <v>97</v>
      </c>
      <c r="D53">
        <f>_xlfn.XLOOKUP(C53, stage_mapping!$A$1:$A$8, stage_mapping!$B$1:$B$8)</f>
        <v>3</v>
      </c>
      <c r="E53">
        <v>12697</v>
      </c>
      <c r="F53" t="s">
        <v>32</v>
      </c>
      <c r="G53" t="s">
        <v>29</v>
      </c>
      <c r="H53" s="1">
        <v>45409</v>
      </c>
      <c r="I53" s="1"/>
    </row>
    <row r="54" spans="1:9" x14ac:dyDescent="0.25">
      <c r="A54" t="s">
        <v>98</v>
      </c>
      <c r="B54" t="s">
        <v>47</v>
      </c>
      <c r="C54" t="s">
        <v>53</v>
      </c>
      <c r="D54">
        <f>_xlfn.XLOOKUP(C54, stage_mapping!$A$1:$A$8, stage_mapping!$B$1:$B$8)</f>
        <v>7</v>
      </c>
      <c r="E54">
        <v>8486</v>
      </c>
      <c r="F54" t="s">
        <v>16</v>
      </c>
      <c r="G54" t="s">
        <v>17</v>
      </c>
      <c r="H54" s="1">
        <v>45890</v>
      </c>
      <c r="I54" s="1">
        <v>45922</v>
      </c>
    </row>
    <row r="55" spans="1:9" x14ac:dyDescent="0.25">
      <c r="A55" t="s">
        <v>99</v>
      </c>
      <c r="B55" t="s">
        <v>70</v>
      </c>
      <c r="C55" t="s">
        <v>15</v>
      </c>
      <c r="D55">
        <f>_xlfn.XLOOKUP(C55, stage_mapping!$A$1:$A$8, stage_mapping!$B$1:$B$8)</f>
        <v>2</v>
      </c>
      <c r="E55">
        <v>6328</v>
      </c>
      <c r="F55" t="s">
        <v>16</v>
      </c>
      <c r="G55" t="s">
        <v>12</v>
      </c>
      <c r="H55" s="1">
        <v>45603</v>
      </c>
      <c r="I55" s="1"/>
    </row>
    <row r="56" spans="1:9" x14ac:dyDescent="0.25">
      <c r="A56" t="s">
        <v>100</v>
      </c>
      <c r="B56" t="s">
        <v>68</v>
      </c>
      <c r="C56" t="s">
        <v>35</v>
      </c>
      <c r="D56">
        <f>_xlfn.XLOOKUP(C56, stage_mapping!$A$1:$A$8, stage_mapping!$B$1:$B$8)</f>
        <v>4</v>
      </c>
      <c r="E56">
        <v>27898</v>
      </c>
      <c r="F56" t="s">
        <v>11</v>
      </c>
      <c r="G56" t="s">
        <v>12</v>
      </c>
      <c r="H56" s="1">
        <v>45533</v>
      </c>
      <c r="I56" s="1"/>
    </row>
    <row r="57" spans="1:9" x14ac:dyDescent="0.25">
      <c r="A57" t="s">
        <v>101</v>
      </c>
      <c r="B57" t="s">
        <v>9</v>
      </c>
      <c r="C57" t="s">
        <v>15</v>
      </c>
      <c r="D57">
        <f>_xlfn.XLOOKUP(C57, stage_mapping!$A$1:$A$8, stage_mapping!$B$1:$B$8)</f>
        <v>2</v>
      </c>
      <c r="E57">
        <v>90593</v>
      </c>
      <c r="F57" t="s">
        <v>20</v>
      </c>
      <c r="G57" t="s">
        <v>17</v>
      </c>
      <c r="H57" s="1">
        <v>45362</v>
      </c>
      <c r="I57" s="1"/>
    </row>
    <row r="58" spans="1:9" x14ac:dyDescent="0.25">
      <c r="A58" t="s">
        <v>102</v>
      </c>
      <c r="B58" t="s">
        <v>14</v>
      </c>
      <c r="C58" t="s">
        <v>24</v>
      </c>
      <c r="D58">
        <f>_xlfn.XLOOKUP(C58, stage_mapping!$A$1:$A$8, stage_mapping!$B$1:$B$8)</f>
        <v>8</v>
      </c>
      <c r="E58">
        <v>48610</v>
      </c>
      <c r="F58" t="s">
        <v>11</v>
      </c>
      <c r="G58" t="s">
        <v>17</v>
      </c>
      <c r="H58" s="1">
        <v>45658</v>
      </c>
      <c r="I58" s="1">
        <v>45756</v>
      </c>
    </row>
    <row r="59" spans="1:9" x14ac:dyDescent="0.25">
      <c r="A59" t="s">
        <v>103</v>
      </c>
      <c r="B59" t="s">
        <v>65</v>
      </c>
      <c r="C59" t="s">
        <v>15</v>
      </c>
      <c r="D59">
        <f>_xlfn.XLOOKUP(C59, stage_mapping!$A$1:$A$8, stage_mapping!$B$1:$B$8)</f>
        <v>2</v>
      </c>
      <c r="E59">
        <v>13213</v>
      </c>
      <c r="F59" t="s">
        <v>16</v>
      </c>
      <c r="G59" t="s">
        <v>12</v>
      </c>
      <c r="H59" s="1">
        <v>45966</v>
      </c>
      <c r="I59" s="1"/>
    </row>
    <row r="60" spans="1:9" x14ac:dyDescent="0.25">
      <c r="A60" t="s">
        <v>104</v>
      </c>
      <c r="B60" t="s">
        <v>105</v>
      </c>
      <c r="C60" t="s">
        <v>49</v>
      </c>
      <c r="D60">
        <f>_xlfn.XLOOKUP(C60, stage_mapping!$A$1:$A$8, stage_mapping!$B$1:$B$8)</f>
        <v>6</v>
      </c>
      <c r="E60">
        <v>18288</v>
      </c>
      <c r="F60" t="s">
        <v>11</v>
      </c>
      <c r="G60" t="s">
        <v>29</v>
      </c>
      <c r="H60" s="1">
        <v>46021</v>
      </c>
      <c r="I60" s="1"/>
    </row>
    <row r="61" spans="1:9" x14ac:dyDescent="0.25">
      <c r="A61" t="s">
        <v>106</v>
      </c>
      <c r="B61" t="s">
        <v>70</v>
      </c>
      <c r="C61" t="s">
        <v>35</v>
      </c>
      <c r="D61">
        <f>_xlfn.XLOOKUP(C61, stage_mapping!$A$1:$A$8, stage_mapping!$B$1:$B$8)</f>
        <v>4</v>
      </c>
      <c r="E61">
        <v>12112</v>
      </c>
      <c r="F61" t="s">
        <v>28</v>
      </c>
      <c r="G61" t="s">
        <v>21</v>
      </c>
      <c r="H61" s="1">
        <v>45612</v>
      </c>
      <c r="I61" s="1"/>
    </row>
    <row r="62" spans="1:9" x14ac:dyDescent="0.25">
      <c r="A62" t="s">
        <v>107</v>
      </c>
      <c r="B62" t="s">
        <v>14</v>
      </c>
      <c r="C62" t="s">
        <v>53</v>
      </c>
      <c r="D62">
        <f>_xlfn.XLOOKUP(C62, stage_mapping!$A$1:$A$8, stage_mapping!$B$1:$B$8)</f>
        <v>7</v>
      </c>
      <c r="E62">
        <v>68967</v>
      </c>
      <c r="F62" t="s">
        <v>43</v>
      </c>
      <c r="G62" t="s">
        <v>17</v>
      </c>
      <c r="H62" s="1">
        <v>45973</v>
      </c>
      <c r="I62" s="1">
        <v>46038</v>
      </c>
    </row>
    <row r="63" spans="1:9" x14ac:dyDescent="0.25">
      <c r="A63" t="s">
        <v>108</v>
      </c>
      <c r="B63" t="s">
        <v>65</v>
      </c>
      <c r="C63" t="s">
        <v>71</v>
      </c>
      <c r="D63">
        <f>_xlfn.XLOOKUP(C63, stage_mapping!$A$1:$A$8, stage_mapping!$B$1:$B$8)</f>
        <v>5</v>
      </c>
      <c r="E63">
        <v>16611</v>
      </c>
      <c r="F63" t="s">
        <v>535</v>
      </c>
      <c r="G63" t="s">
        <v>12</v>
      </c>
      <c r="H63" s="1">
        <v>45866</v>
      </c>
      <c r="I63" s="1">
        <v>45905</v>
      </c>
    </row>
    <row r="64" spans="1:9" x14ac:dyDescent="0.25">
      <c r="A64" t="s">
        <v>109</v>
      </c>
      <c r="B64" t="s">
        <v>19</v>
      </c>
      <c r="C64" t="s">
        <v>10</v>
      </c>
      <c r="D64">
        <f>_xlfn.XLOOKUP(C64, stage_mapping!$A$1:$A$8, stage_mapping!$B$1:$B$8)</f>
        <v>1</v>
      </c>
      <c r="E64">
        <v>20979</v>
      </c>
      <c r="F64" t="s">
        <v>43</v>
      </c>
      <c r="G64" t="s">
        <v>29</v>
      </c>
      <c r="H64" s="1">
        <v>45512</v>
      </c>
      <c r="I64" s="1"/>
    </row>
    <row r="65" spans="1:9" x14ac:dyDescent="0.25">
      <c r="A65" t="s">
        <v>110</v>
      </c>
      <c r="B65" t="s">
        <v>79</v>
      </c>
      <c r="C65" t="s">
        <v>35</v>
      </c>
      <c r="D65">
        <f>_xlfn.XLOOKUP(C65, stage_mapping!$A$1:$A$8, stage_mapping!$B$1:$B$8)</f>
        <v>4</v>
      </c>
      <c r="E65">
        <v>14363</v>
      </c>
      <c r="F65" t="s">
        <v>16</v>
      </c>
      <c r="G65" t="s">
        <v>25</v>
      </c>
      <c r="H65" s="1">
        <v>45816</v>
      </c>
      <c r="I65" s="1"/>
    </row>
    <row r="66" spans="1:9" x14ac:dyDescent="0.25">
      <c r="A66" t="s">
        <v>111</v>
      </c>
      <c r="B66" t="s">
        <v>34</v>
      </c>
      <c r="C66" t="s">
        <v>10</v>
      </c>
      <c r="D66">
        <f>_xlfn.XLOOKUP(C66, stage_mapping!$A$1:$A$8, stage_mapping!$B$1:$B$8)</f>
        <v>1</v>
      </c>
      <c r="E66">
        <v>19877</v>
      </c>
      <c r="F66" t="s">
        <v>20</v>
      </c>
      <c r="G66" t="s">
        <v>29</v>
      </c>
      <c r="H66" s="1">
        <v>45732</v>
      </c>
      <c r="I66" s="1"/>
    </row>
    <row r="67" spans="1:9" x14ac:dyDescent="0.25">
      <c r="A67" t="s">
        <v>112</v>
      </c>
      <c r="B67" t="s">
        <v>105</v>
      </c>
      <c r="C67" t="s">
        <v>49</v>
      </c>
      <c r="D67">
        <f>_xlfn.XLOOKUP(C67, stage_mapping!$A$1:$A$8, stage_mapping!$B$1:$B$8)</f>
        <v>6</v>
      </c>
      <c r="E67">
        <v>7677</v>
      </c>
      <c r="F67" t="s">
        <v>16</v>
      </c>
      <c r="G67" t="s">
        <v>29</v>
      </c>
      <c r="H67" s="1">
        <v>45706</v>
      </c>
      <c r="I67" s="1"/>
    </row>
    <row r="68" spans="1:9" x14ac:dyDescent="0.25">
      <c r="A68" t="s">
        <v>113</v>
      </c>
      <c r="B68" t="s">
        <v>81</v>
      </c>
      <c r="C68" t="s">
        <v>97</v>
      </c>
      <c r="D68">
        <f>_xlfn.XLOOKUP(C68, stage_mapping!$A$1:$A$8, stage_mapping!$B$1:$B$8)</f>
        <v>3</v>
      </c>
      <c r="E68">
        <v>16432</v>
      </c>
      <c r="F68" t="s">
        <v>535</v>
      </c>
      <c r="G68" t="s">
        <v>17</v>
      </c>
      <c r="H68" s="1">
        <v>45370</v>
      </c>
      <c r="I68" s="1"/>
    </row>
    <row r="69" spans="1:9" x14ac:dyDescent="0.25">
      <c r="A69" t="s">
        <v>114</v>
      </c>
      <c r="B69" t="s">
        <v>42</v>
      </c>
      <c r="C69" t="s">
        <v>49</v>
      </c>
      <c r="D69">
        <f>_xlfn.XLOOKUP(C69, stage_mapping!$A$1:$A$8, stage_mapping!$B$1:$B$8)</f>
        <v>6</v>
      </c>
      <c r="E69">
        <v>15741</v>
      </c>
      <c r="F69" t="s">
        <v>535</v>
      </c>
      <c r="G69" t="s">
        <v>17</v>
      </c>
      <c r="H69" s="1">
        <v>45935</v>
      </c>
      <c r="I69" s="1"/>
    </row>
    <row r="70" spans="1:9" x14ac:dyDescent="0.25">
      <c r="A70" t="s">
        <v>115</v>
      </c>
      <c r="B70" t="s">
        <v>63</v>
      </c>
      <c r="C70" t="s">
        <v>35</v>
      </c>
      <c r="D70">
        <f>_xlfn.XLOOKUP(C70, stage_mapping!$A$1:$A$8, stage_mapping!$B$1:$B$8)</f>
        <v>4</v>
      </c>
      <c r="E70">
        <v>10.4</v>
      </c>
      <c r="F70" t="s">
        <v>16</v>
      </c>
      <c r="G70" t="s">
        <v>17</v>
      </c>
      <c r="H70" s="1">
        <v>45349</v>
      </c>
      <c r="I70" s="1"/>
    </row>
    <row r="71" spans="1:9" x14ac:dyDescent="0.25">
      <c r="A71" t="s">
        <v>116</v>
      </c>
      <c r="B71" t="s">
        <v>70</v>
      </c>
      <c r="C71" t="s">
        <v>35</v>
      </c>
      <c r="D71">
        <f>_xlfn.XLOOKUP(C71, stage_mapping!$A$1:$A$8, stage_mapping!$B$1:$B$8)</f>
        <v>4</v>
      </c>
      <c r="E71">
        <v>5546</v>
      </c>
      <c r="F71" t="s">
        <v>43</v>
      </c>
      <c r="G71" t="s">
        <v>29</v>
      </c>
      <c r="H71" s="1">
        <v>45753</v>
      </c>
      <c r="I71" s="1"/>
    </row>
    <row r="72" spans="1:9" x14ac:dyDescent="0.25">
      <c r="A72" t="s">
        <v>117</v>
      </c>
      <c r="B72" t="s">
        <v>23</v>
      </c>
      <c r="C72" t="s">
        <v>10</v>
      </c>
      <c r="D72">
        <f>_xlfn.XLOOKUP(C72, stage_mapping!$A$1:$A$8, stage_mapping!$B$1:$B$8)</f>
        <v>1</v>
      </c>
      <c r="E72">
        <v>9452</v>
      </c>
      <c r="F72" t="s">
        <v>535</v>
      </c>
      <c r="G72" t="s">
        <v>17</v>
      </c>
      <c r="H72" s="1">
        <v>45986</v>
      </c>
      <c r="I72" s="1"/>
    </row>
    <row r="73" spans="1:9" x14ac:dyDescent="0.25">
      <c r="A73" t="s">
        <v>118</v>
      </c>
      <c r="B73" t="s">
        <v>63</v>
      </c>
      <c r="C73" t="s">
        <v>35</v>
      </c>
      <c r="D73">
        <f>_xlfn.XLOOKUP(C73, stage_mapping!$A$1:$A$8, stage_mapping!$B$1:$B$8)</f>
        <v>4</v>
      </c>
      <c r="E73">
        <v>47839</v>
      </c>
      <c r="F73" t="s">
        <v>20</v>
      </c>
      <c r="G73" t="s">
        <v>17</v>
      </c>
      <c r="H73" s="1">
        <v>45422</v>
      </c>
      <c r="I73" s="1"/>
    </row>
    <row r="74" spans="1:9" x14ac:dyDescent="0.25">
      <c r="A74" t="s">
        <v>119</v>
      </c>
      <c r="B74" t="s">
        <v>105</v>
      </c>
      <c r="C74" t="s">
        <v>15</v>
      </c>
      <c r="D74">
        <f>_xlfn.XLOOKUP(C74, stage_mapping!$A$1:$A$8, stage_mapping!$B$1:$B$8)</f>
        <v>2</v>
      </c>
      <c r="E74">
        <v>21120</v>
      </c>
      <c r="F74" t="s">
        <v>20</v>
      </c>
      <c r="G74" t="s">
        <v>21</v>
      </c>
      <c r="H74" s="1">
        <v>45395</v>
      </c>
      <c r="I74" s="1"/>
    </row>
    <row r="75" spans="1:9" x14ac:dyDescent="0.25">
      <c r="A75" t="s">
        <v>120</v>
      </c>
      <c r="B75" t="s">
        <v>70</v>
      </c>
      <c r="C75" t="s">
        <v>15</v>
      </c>
      <c r="D75">
        <f>_xlfn.XLOOKUP(C75, stage_mapping!$A$1:$A$8, stage_mapping!$B$1:$B$8)</f>
        <v>2</v>
      </c>
      <c r="E75">
        <v>46073</v>
      </c>
      <c r="F75" t="s">
        <v>535</v>
      </c>
      <c r="G75" t="s">
        <v>21</v>
      </c>
      <c r="H75" s="1">
        <v>45583</v>
      </c>
      <c r="I75" s="1"/>
    </row>
    <row r="76" spans="1:9" x14ac:dyDescent="0.25">
      <c r="A76" t="s">
        <v>121</v>
      </c>
      <c r="B76" t="s">
        <v>70</v>
      </c>
      <c r="C76" t="s">
        <v>24</v>
      </c>
      <c r="D76">
        <f>_xlfn.XLOOKUP(C76, stage_mapping!$A$1:$A$8, stage_mapping!$B$1:$B$8)</f>
        <v>8</v>
      </c>
      <c r="E76">
        <v>6003</v>
      </c>
      <c r="F76" t="s">
        <v>43</v>
      </c>
      <c r="G76" t="s">
        <v>21</v>
      </c>
      <c r="H76" s="1">
        <v>45911</v>
      </c>
      <c r="I76" s="1">
        <v>45977</v>
      </c>
    </row>
    <row r="77" spans="1:9" x14ac:dyDescent="0.25">
      <c r="A77" t="s">
        <v>122</v>
      </c>
      <c r="B77" t="s">
        <v>27</v>
      </c>
      <c r="C77" t="s">
        <v>35</v>
      </c>
      <c r="D77">
        <f>_xlfn.XLOOKUP(C77, stage_mapping!$A$1:$A$8, stage_mapping!$B$1:$B$8)</f>
        <v>4</v>
      </c>
      <c r="E77">
        <v>28960</v>
      </c>
      <c r="F77" t="s">
        <v>11</v>
      </c>
      <c r="G77" t="s">
        <v>29</v>
      </c>
      <c r="H77" s="1">
        <v>45519</v>
      </c>
      <c r="I77" s="1"/>
    </row>
    <row r="78" spans="1:9" x14ac:dyDescent="0.25">
      <c r="A78" t="s">
        <v>123</v>
      </c>
      <c r="B78" t="s">
        <v>63</v>
      </c>
      <c r="C78" t="s">
        <v>97</v>
      </c>
      <c r="D78">
        <f>_xlfn.XLOOKUP(C78, stage_mapping!$A$1:$A$8, stage_mapping!$B$1:$B$8)</f>
        <v>3</v>
      </c>
      <c r="E78">
        <v>49388</v>
      </c>
      <c r="F78" t="s">
        <v>535</v>
      </c>
      <c r="G78" t="s">
        <v>17</v>
      </c>
      <c r="H78" s="1">
        <v>45751</v>
      </c>
      <c r="I78" s="1">
        <v>45783</v>
      </c>
    </row>
    <row r="79" spans="1:9" x14ac:dyDescent="0.25">
      <c r="A79" t="s">
        <v>124</v>
      </c>
      <c r="B79" t="s">
        <v>39</v>
      </c>
      <c r="C79" t="s">
        <v>35</v>
      </c>
      <c r="D79">
        <f>_xlfn.XLOOKUP(C79, stage_mapping!$A$1:$A$8, stage_mapping!$B$1:$B$8)</f>
        <v>4</v>
      </c>
      <c r="E79">
        <v>17725</v>
      </c>
      <c r="F79" t="s">
        <v>28</v>
      </c>
      <c r="G79" t="s">
        <v>12</v>
      </c>
      <c r="H79" s="1">
        <v>45803</v>
      </c>
      <c r="I79" s="1"/>
    </row>
    <row r="80" spans="1:9" x14ac:dyDescent="0.25">
      <c r="A80" t="s">
        <v>125</v>
      </c>
      <c r="B80" t="s">
        <v>81</v>
      </c>
      <c r="C80" t="s">
        <v>53</v>
      </c>
      <c r="D80">
        <f>_xlfn.XLOOKUP(C80, stage_mapping!$A$1:$A$8, stage_mapping!$B$1:$B$8)</f>
        <v>7</v>
      </c>
      <c r="E80">
        <v>11936</v>
      </c>
      <c r="F80" t="s">
        <v>43</v>
      </c>
      <c r="G80" t="s">
        <v>17</v>
      </c>
      <c r="H80" s="1">
        <v>45312</v>
      </c>
      <c r="I80" s="1">
        <v>45323</v>
      </c>
    </row>
    <row r="81" spans="1:9" x14ac:dyDescent="0.25">
      <c r="A81" t="s">
        <v>126</v>
      </c>
      <c r="B81" t="s">
        <v>105</v>
      </c>
      <c r="C81" t="s">
        <v>53</v>
      </c>
      <c r="D81">
        <f>_xlfn.XLOOKUP(C81, stage_mapping!$A$1:$A$8, stage_mapping!$B$1:$B$8)</f>
        <v>7</v>
      </c>
      <c r="E81">
        <v>13308</v>
      </c>
      <c r="F81" t="s">
        <v>43</v>
      </c>
      <c r="G81" t="s">
        <v>29</v>
      </c>
      <c r="H81" s="1">
        <v>45993</v>
      </c>
      <c r="I81" s="1">
        <v>46000</v>
      </c>
    </row>
    <row r="82" spans="1:9" x14ac:dyDescent="0.25">
      <c r="A82" t="s">
        <v>127</v>
      </c>
      <c r="B82" t="s">
        <v>42</v>
      </c>
      <c r="C82" t="s">
        <v>24</v>
      </c>
      <c r="D82">
        <f>_xlfn.XLOOKUP(C82, stage_mapping!$A$1:$A$8, stage_mapping!$B$1:$B$8)</f>
        <v>8</v>
      </c>
      <c r="E82">
        <v>2500</v>
      </c>
      <c r="F82" t="s">
        <v>43</v>
      </c>
      <c r="G82" t="s">
        <v>12</v>
      </c>
      <c r="H82" s="1">
        <v>45551</v>
      </c>
      <c r="I82" s="1">
        <v>45656</v>
      </c>
    </row>
    <row r="83" spans="1:9" x14ac:dyDescent="0.25">
      <c r="A83" t="s">
        <v>128</v>
      </c>
      <c r="B83" t="s">
        <v>68</v>
      </c>
      <c r="C83" t="s">
        <v>35</v>
      </c>
      <c r="D83">
        <f>_xlfn.XLOOKUP(C83, stage_mapping!$A$1:$A$8, stage_mapping!$B$1:$B$8)</f>
        <v>4</v>
      </c>
      <c r="E83">
        <v>5297</v>
      </c>
      <c r="F83" t="s">
        <v>32</v>
      </c>
      <c r="G83" t="s">
        <v>12</v>
      </c>
      <c r="H83" s="1">
        <v>45726</v>
      </c>
      <c r="I83" s="1"/>
    </row>
    <row r="84" spans="1:9" x14ac:dyDescent="0.25">
      <c r="A84" t="s">
        <v>129</v>
      </c>
      <c r="B84" t="s">
        <v>70</v>
      </c>
      <c r="C84" t="s">
        <v>24</v>
      </c>
      <c r="D84">
        <f>_xlfn.XLOOKUP(C84, stage_mapping!$A$1:$A$8, stage_mapping!$B$1:$B$8)</f>
        <v>8</v>
      </c>
      <c r="E84">
        <v>14698</v>
      </c>
      <c r="F84" t="s">
        <v>535</v>
      </c>
      <c r="G84" t="s">
        <v>21</v>
      </c>
      <c r="H84" s="1">
        <v>45737</v>
      </c>
      <c r="I84" s="1">
        <v>45818</v>
      </c>
    </row>
    <row r="85" spans="1:9" x14ac:dyDescent="0.25">
      <c r="A85" t="s">
        <v>130</v>
      </c>
      <c r="B85" t="s">
        <v>37</v>
      </c>
      <c r="C85" t="s">
        <v>35</v>
      </c>
      <c r="D85">
        <f>_xlfn.XLOOKUP(C85, stage_mapping!$A$1:$A$8, stage_mapping!$B$1:$B$8)</f>
        <v>4</v>
      </c>
      <c r="E85">
        <v>8447</v>
      </c>
      <c r="F85" t="s">
        <v>16</v>
      </c>
      <c r="G85" t="s">
        <v>29</v>
      </c>
      <c r="H85" s="1">
        <v>45911</v>
      </c>
      <c r="I85" s="1"/>
    </row>
    <row r="86" spans="1:9" x14ac:dyDescent="0.25">
      <c r="A86" t="s">
        <v>131</v>
      </c>
      <c r="B86" t="s">
        <v>27</v>
      </c>
      <c r="C86" t="s">
        <v>10</v>
      </c>
      <c r="D86">
        <f>_xlfn.XLOOKUP(C86, stage_mapping!$A$1:$A$8, stage_mapping!$B$1:$B$8)</f>
        <v>1</v>
      </c>
      <c r="E86">
        <v>13072</v>
      </c>
      <c r="F86" t="s">
        <v>32</v>
      </c>
      <c r="G86" t="s">
        <v>29</v>
      </c>
      <c r="H86" s="1">
        <v>46012</v>
      </c>
      <c r="I86" s="1"/>
    </row>
    <row r="87" spans="1:9" x14ac:dyDescent="0.25">
      <c r="A87" t="s">
        <v>132</v>
      </c>
      <c r="B87" t="s">
        <v>37</v>
      </c>
      <c r="C87" t="s">
        <v>24</v>
      </c>
      <c r="D87">
        <f>_xlfn.XLOOKUP(C87, stage_mapping!$A$1:$A$8, stage_mapping!$B$1:$B$8)</f>
        <v>8</v>
      </c>
      <c r="E87">
        <v>50152</v>
      </c>
      <c r="F87" t="s">
        <v>28</v>
      </c>
      <c r="G87" t="s">
        <v>29</v>
      </c>
      <c r="H87" s="1">
        <v>46009</v>
      </c>
      <c r="I87" s="1">
        <v>46067</v>
      </c>
    </row>
    <row r="88" spans="1:9" x14ac:dyDescent="0.25">
      <c r="A88" t="s">
        <v>133</v>
      </c>
      <c r="B88" t="s">
        <v>63</v>
      </c>
      <c r="C88" t="s">
        <v>35</v>
      </c>
      <c r="D88">
        <f>_xlfn.XLOOKUP(C88, stage_mapping!$A$1:$A$8, stage_mapping!$B$1:$B$8)</f>
        <v>4</v>
      </c>
      <c r="E88">
        <v>13682</v>
      </c>
      <c r="F88" t="s">
        <v>11</v>
      </c>
      <c r="G88" t="s">
        <v>17</v>
      </c>
      <c r="H88" s="1">
        <v>45782</v>
      </c>
      <c r="I88" s="1"/>
    </row>
    <row r="89" spans="1:9" x14ac:dyDescent="0.25">
      <c r="A89" t="s">
        <v>134</v>
      </c>
      <c r="B89" t="s">
        <v>63</v>
      </c>
      <c r="C89" t="s">
        <v>35</v>
      </c>
      <c r="D89">
        <f>_xlfn.XLOOKUP(C89, stage_mapping!$A$1:$A$8, stage_mapping!$B$1:$B$8)</f>
        <v>4</v>
      </c>
      <c r="E89">
        <v>7570</v>
      </c>
      <c r="F89" t="s">
        <v>28</v>
      </c>
      <c r="G89" t="s">
        <v>17</v>
      </c>
      <c r="H89" s="1">
        <v>45457</v>
      </c>
      <c r="I89" s="1"/>
    </row>
    <row r="90" spans="1:9" x14ac:dyDescent="0.25">
      <c r="A90" t="s">
        <v>135</v>
      </c>
      <c r="B90" t="s">
        <v>9</v>
      </c>
      <c r="C90" t="s">
        <v>49</v>
      </c>
      <c r="D90">
        <f>_xlfn.XLOOKUP(C90, stage_mapping!$A$1:$A$8, stage_mapping!$B$1:$B$8)</f>
        <v>6</v>
      </c>
      <c r="E90">
        <v>57692</v>
      </c>
      <c r="F90" t="s">
        <v>535</v>
      </c>
      <c r="G90" t="s">
        <v>12</v>
      </c>
      <c r="H90" s="1">
        <v>45467</v>
      </c>
      <c r="I90" s="1"/>
    </row>
    <row r="91" spans="1:9" x14ac:dyDescent="0.25">
      <c r="A91" t="s">
        <v>136</v>
      </c>
      <c r="B91" t="s">
        <v>42</v>
      </c>
      <c r="C91" t="s">
        <v>35</v>
      </c>
      <c r="D91">
        <f>_xlfn.XLOOKUP(C91, stage_mapping!$A$1:$A$8, stage_mapping!$B$1:$B$8)</f>
        <v>4</v>
      </c>
      <c r="E91">
        <v>19532</v>
      </c>
      <c r="F91" t="s">
        <v>43</v>
      </c>
      <c r="G91" t="s">
        <v>21</v>
      </c>
      <c r="H91" s="1">
        <v>45588</v>
      </c>
      <c r="I91" s="1"/>
    </row>
    <row r="92" spans="1:9" x14ac:dyDescent="0.25">
      <c r="A92" t="s">
        <v>137</v>
      </c>
      <c r="B92" t="s">
        <v>105</v>
      </c>
      <c r="C92" t="s">
        <v>35</v>
      </c>
      <c r="D92">
        <f>_xlfn.XLOOKUP(C92, stage_mapping!$A$1:$A$8, stage_mapping!$B$1:$B$8)</f>
        <v>4</v>
      </c>
      <c r="E92">
        <v>15782</v>
      </c>
      <c r="F92" t="s">
        <v>28</v>
      </c>
      <c r="G92" t="s">
        <v>29</v>
      </c>
      <c r="H92" s="1">
        <v>45645</v>
      </c>
      <c r="I92" s="1"/>
    </row>
    <row r="93" spans="1:9" x14ac:dyDescent="0.25">
      <c r="A93" t="s">
        <v>138</v>
      </c>
      <c r="B93" t="s">
        <v>31</v>
      </c>
      <c r="C93" t="s">
        <v>53</v>
      </c>
      <c r="D93">
        <f>_xlfn.XLOOKUP(C93, stage_mapping!$A$1:$A$8, stage_mapping!$B$1:$B$8)</f>
        <v>7</v>
      </c>
      <c r="E93">
        <v>13173</v>
      </c>
      <c r="F93" t="s">
        <v>32</v>
      </c>
      <c r="G93" t="s">
        <v>29</v>
      </c>
      <c r="H93" s="1">
        <v>45455</v>
      </c>
      <c r="I93" s="1">
        <v>45512</v>
      </c>
    </row>
    <row r="94" spans="1:9" x14ac:dyDescent="0.25">
      <c r="A94" t="s">
        <v>139</v>
      </c>
      <c r="B94" t="s">
        <v>65</v>
      </c>
      <c r="C94" t="s">
        <v>24</v>
      </c>
      <c r="D94">
        <f>_xlfn.XLOOKUP(C94, stage_mapping!$A$1:$A$8, stage_mapping!$B$1:$B$8)</f>
        <v>8</v>
      </c>
      <c r="E94">
        <v>8067</v>
      </c>
      <c r="F94" t="s">
        <v>16</v>
      </c>
      <c r="G94" t="s">
        <v>12</v>
      </c>
      <c r="H94" s="1">
        <v>45773</v>
      </c>
      <c r="I94" s="1">
        <v>45837</v>
      </c>
    </row>
    <row r="95" spans="1:9" x14ac:dyDescent="0.25">
      <c r="A95" t="s">
        <v>140</v>
      </c>
      <c r="B95" t="s">
        <v>9</v>
      </c>
      <c r="C95" t="s">
        <v>10</v>
      </c>
      <c r="D95">
        <f>_xlfn.XLOOKUP(C95, stage_mapping!$A$1:$A$8, stage_mapping!$B$1:$B$8)</f>
        <v>1</v>
      </c>
      <c r="E95">
        <v>34341</v>
      </c>
      <c r="F95" t="s">
        <v>11</v>
      </c>
      <c r="G95" t="s">
        <v>12</v>
      </c>
      <c r="H95" s="1">
        <v>45639</v>
      </c>
      <c r="I95" s="1"/>
    </row>
    <row r="96" spans="1:9" x14ac:dyDescent="0.25">
      <c r="A96" t="s">
        <v>141</v>
      </c>
      <c r="B96" t="s">
        <v>63</v>
      </c>
      <c r="C96" t="s">
        <v>24</v>
      </c>
      <c r="D96">
        <f>_xlfn.XLOOKUP(C96, stage_mapping!$A$1:$A$8, stage_mapping!$B$1:$B$8)</f>
        <v>8</v>
      </c>
      <c r="E96">
        <v>8324</v>
      </c>
      <c r="F96" t="s">
        <v>11</v>
      </c>
      <c r="G96" t="s">
        <v>17</v>
      </c>
      <c r="H96" s="1">
        <v>45694</v>
      </c>
      <c r="I96" s="1">
        <v>45769</v>
      </c>
    </row>
    <row r="97" spans="1:9" x14ac:dyDescent="0.25">
      <c r="A97" t="s">
        <v>142</v>
      </c>
      <c r="B97" t="s">
        <v>23</v>
      </c>
      <c r="C97" t="s">
        <v>49</v>
      </c>
      <c r="D97">
        <f>_xlfn.XLOOKUP(C97, stage_mapping!$A$1:$A$8, stage_mapping!$B$1:$B$8)</f>
        <v>6</v>
      </c>
      <c r="E97">
        <v>34537</v>
      </c>
      <c r="F97" t="s">
        <v>28</v>
      </c>
      <c r="G97" t="s">
        <v>12</v>
      </c>
      <c r="H97" s="1">
        <v>45563</v>
      </c>
      <c r="I97" s="1"/>
    </row>
    <row r="98" spans="1:9" x14ac:dyDescent="0.25">
      <c r="A98" t="s">
        <v>143</v>
      </c>
      <c r="B98" t="s">
        <v>42</v>
      </c>
      <c r="C98" t="s">
        <v>35</v>
      </c>
      <c r="D98">
        <f>_xlfn.XLOOKUP(C98, stage_mapping!$A$1:$A$8, stage_mapping!$B$1:$B$8)</f>
        <v>4</v>
      </c>
      <c r="E98">
        <v>10694</v>
      </c>
      <c r="F98" t="s">
        <v>16</v>
      </c>
      <c r="G98" t="s">
        <v>17</v>
      </c>
      <c r="H98" s="1">
        <v>45805</v>
      </c>
      <c r="I98" s="1"/>
    </row>
    <row r="99" spans="1:9" x14ac:dyDescent="0.25">
      <c r="A99" t="s">
        <v>144</v>
      </c>
      <c r="B99" t="s">
        <v>9</v>
      </c>
      <c r="C99" t="s">
        <v>15</v>
      </c>
      <c r="D99">
        <f>_xlfn.XLOOKUP(C99, stage_mapping!$A$1:$A$8, stage_mapping!$B$1:$B$8)</f>
        <v>2</v>
      </c>
      <c r="E99">
        <v>112329</v>
      </c>
      <c r="F99" t="s">
        <v>20</v>
      </c>
      <c r="G99" t="s">
        <v>12</v>
      </c>
      <c r="H99" s="1">
        <v>45596</v>
      </c>
      <c r="I99" s="1"/>
    </row>
    <row r="100" spans="1:9" x14ac:dyDescent="0.25">
      <c r="A100" t="s">
        <v>145</v>
      </c>
      <c r="B100" t="s">
        <v>19</v>
      </c>
      <c r="C100" t="s">
        <v>24</v>
      </c>
      <c r="D100">
        <f>_xlfn.XLOOKUP(C100, stage_mapping!$A$1:$A$8, stage_mapping!$B$1:$B$8)</f>
        <v>8</v>
      </c>
      <c r="E100">
        <v>64598</v>
      </c>
      <c r="F100" t="s">
        <v>11</v>
      </c>
      <c r="G100" t="s">
        <v>29</v>
      </c>
      <c r="H100" s="1">
        <v>45744</v>
      </c>
      <c r="I100" s="1">
        <v>45825</v>
      </c>
    </row>
    <row r="101" spans="1:9" x14ac:dyDescent="0.25">
      <c r="A101" t="s">
        <v>146</v>
      </c>
      <c r="B101" t="s">
        <v>81</v>
      </c>
      <c r="C101" t="s">
        <v>35</v>
      </c>
      <c r="D101">
        <f>_xlfn.XLOOKUP(C101, stage_mapping!$A$1:$A$8, stage_mapping!$B$1:$B$8)</f>
        <v>4</v>
      </c>
      <c r="E101">
        <v>22007</v>
      </c>
      <c r="F101" t="s">
        <v>11</v>
      </c>
      <c r="G101" t="s">
        <v>17</v>
      </c>
      <c r="H101" s="1">
        <v>45394</v>
      </c>
      <c r="I101" s="1"/>
    </row>
    <row r="102" spans="1:9" x14ac:dyDescent="0.25">
      <c r="A102" t="s">
        <v>147</v>
      </c>
      <c r="B102" t="s">
        <v>105</v>
      </c>
      <c r="C102" t="s">
        <v>10</v>
      </c>
      <c r="D102">
        <f>_xlfn.XLOOKUP(C102, stage_mapping!$A$1:$A$8, stage_mapping!$B$1:$B$8)</f>
        <v>1</v>
      </c>
      <c r="E102">
        <v>128290</v>
      </c>
      <c r="F102" t="s">
        <v>32</v>
      </c>
      <c r="G102" t="s">
        <v>29</v>
      </c>
      <c r="H102" s="1">
        <v>45839</v>
      </c>
      <c r="I102" s="1">
        <v>45866</v>
      </c>
    </row>
    <row r="103" spans="1:9" x14ac:dyDescent="0.25">
      <c r="A103" t="s">
        <v>148</v>
      </c>
      <c r="B103" t="s">
        <v>34</v>
      </c>
      <c r="C103" t="s">
        <v>10</v>
      </c>
      <c r="D103">
        <f>_xlfn.XLOOKUP(C103, stage_mapping!$A$1:$A$8, stage_mapping!$B$1:$B$8)</f>
        <v>1</v>
      </c>
      <c r="E103">
        <v>23637</v>
      </c>
      <c r="F103" t="s">
        <v>43</v>
      </c>
      <c r="G103" t="s">
        <v>17</v>
      </c>
      <c r="H103" s="1">
        <v>45583</v>
      </c>
      <c r="I103" s="1"/>
    </row>
    <row r="104" spans="1:9" x14ac:dyDescent="0.25">
      <c r="A104" t="s">
        <v>149</v>
      </c>
      <c r="B104" t="s">
        <v>79</v>
      </c>
      <c r="C104" t="s">
        <v>53</v>
      </c>
      <c r="D104">
        <f>_xlfn.XLOOKUP(C104, stage_mapping!$A$1:$A$8, stage_mapping!$B$1:$B$8)</f>
        <v>7</v>
      </c>
      <c r="E104">
        <v>29752</v>
      </c>
      <c r="F104" t="s">
        <v>535</v>
      </c>
      <c r="G104" t="s">
        <v>12</v>
      </c>
      <c r="H104" s="1">
        <v>45489</v>
      </c>
      <c r="I104" s="1">
        <v>45592</v>
      </c>
    </row>
    <row r="105" spans="1:9" x14ac:dyDescent="0.25">
      <c r="A105" t="s">
        <v>150</v>
      </c>
      <c r="B105" t="s">
        <v>79</v>
      </c>
      <c r="C105" t="s">
        <v>10</v>
      </c>
      <c r="D105">
        <f>_xlfn.XLOOKUP(C105, stage_mapping!$A$1:$A$8, stage_mapping!$B$1:$B$8)</f>
        <v>1</v>
      </c>
      <c r="E105">
        <v>11241</v>
      </c>
      <c r="F105" t="s">
        <v>535</v>
      </c>
      <c r="G105" t="s">
        <v>12</v>
      </c>
      <c r="H105" s="1">
        <v>46001</v>
      </c>
      <c r="I105" s="1"/>
    </row>
    <row r="106" spans="1:9" x14ac:dyDescent="0.25">
      <c r="A106" t="s">
        <v>151</v>
      </c>
      <c r="B106" t="s">
        <v>65</v>
      </c>
      <c r="C106" t="s">
        <v>35</v>
      </c>
      <c r="D106">
        <f>_xlfn.XLOOKUP(C106, stage_mapping!$A$1:$A$8, stage_mapping!$B$1:$B$8)</f>
        <v>4</v>
      </c>
      <c r="E106">
        <v>7951</v>
      </c>
      <c r="F106" t="s">
        <v>32</v>
      </c>
      <c r="G106" t="s">
        <v>12</v>
      </c>
      <c r="H106" s="1">
        <v>45912</v>
      </c>
      <c r="I106" s="1"/>
    </row>
    <row r="107" spans="1:9" x14ac:dyDescent="0.25">
      <c r="A107" t="s">
        <v>152</v>
      </c>
      <c r="B107" t="s">
        <v>81</v>
      </c>
      <c r="C107" t="s">
        <v>24</v>
      </c>
      <c r="D107">
        <f>_xlfn.XLOOKUP(C107, stage_mapping!$A$1:$A$8, stage_mapping!$B$1:$B$8)</f>
        <v>8</v>
      </c>
      <c r="E107">
        <v>33009</v>
      </c>
      <c r="F107" t="s">
        <v>16</v>
      </c>
      <c r="G107" t="s">
        <v>17</v>
      </c>
      <c r="H107" s="1">
        <v>45852</v>
      </c>
      <c r="I107" s="1">
        <v>45908</v>
      </c>
    </row>
    <row r="108" spans="1:9" x14ac:dyDescent="0.25">
      <c r="A108" t="s">
        <v>153</v>
      </c>
      <c r="B108" t="s">
        <v>39</v>
      </c>
      <c r="C108" t="s">
        <v>49</v>
      </c>
      <c r="D108">
        <f>_xlfn.XLOOKUP(C108, stage_mapping!$A$1:$A$8, stage_mapping!$B$1:$B$8)</f>
        <v>6</v>
      </c>
      <c r="E108">
        <v>47732</v>
      </c>
      <c r="F108" t="s">
        <v>16</v>
      </c>
      <c r="G108" t="s">
        <v>12</v>
      </c>
      <c r="H108" s="1">
        <v>45980</v>
      </c>
      <c r="I108" s="1"/>
    </row>
    <row r="109" spans="1:9" x14ac:dyDescent="0.25">
      <c r="A109" t="s">
        <v>154</v>
      </c>
      <c r="B109" t="s">
        <v>39</v>
      </c>
      <c r="C109" t="s">
        <v>53</v>
      </c>
      <c r="D109">
        <f>_xlfn.XLOOKUP(C109, stage_mapping!$A$1:$A$8, stage_mapping!$B$1:$B$8)</f>
        <v>7</v>
      </c>
      <c r="E109">
        <v>27624</v>
      </c>
      <c r="F109" t="s">
        <v>535</v>
      </c>
      <c r="G109" t="s">
        <v>12</v>
      </c>
      <c r="H109" s="1">
        <v>45953</v>
      </c>
      <c r="I109" s="1">
        <v>46007</v>
      </c>
    </row>
    <row r="110" spans="1:9" x14ac:dyDescent="0.25">
      <c r="A110" t="s">
        <v>155</v>
      </c>
      <c r="B110" t="s">
        <v>63</v>
      </c>
      <c r="C110" t="s">
        <v>24</v>
      </c>
      <c r="D110">
        <f>_xlfn.XLOOKUP(C110, stage_mapping!$A$1:$A$8, stage_mapping!$B$1:$B$8)</f>
        <v>8</v>
      </c>
      <c r="E110">
        <v>17021</v>
      </c>
      <c r="F110" t="s">
        <v>11</v>
      </c>
      <c r="G110" t="s">
        <v>17</v>
      </c>
      <c r="H110" s="1">
        <v>45422</v>
      </c>
      <c r="I110" s="1">
        <v>45498</v>
      </c>
    </row>
    <row r="111" spans="1:9" x14ac:dyDescent="0.25">
      <c r="A111" t="s">
        <v>156</v>
      </c>
      <c r="B111" t="s">
        <v>79</v>
      </c>
      <c r="C111" t="s">
        <v>10</v>
      </c>
      <c r="D111">
        <f>_xlfn.XLOOKUP(C111, stage_mapping!$A$1:$A$8, stage_mapping!$B$1:$B$8)</f>
        <v>1</v>
      </c>
      <c r="E111">
        <v>43317</v>
      </c>
      <c r="F111" t="s">
        <v>535</v>
      </c>
      <c r="G111" t="s">
        <v>12</v>
      </c>
      <c r="H111" s="1">
        <v>45921</v>
      </c>
      <c r="I111" s="1">
        <v>45931</v>
      </c>
    </row>
    <row r="112" spans="1:9" x14ac:dyDescent="0.25">
      <c r="A112" t="s">
        <v>157</v>
      </c>
      <c r="B112" t="s">
        <v>45</v>
      </c>
      <c r="C112" t="s">
        <v>53</v>
      </c>
      <c r="D112">
        <f>_xlfn.XLOOKUP(C112, stage_mapping!$A$1:$A$8, stage_mapping!$B$1:$B$8)</f>
        <v>7</v>
      </c>
      <c r="E112">
        <v>9827</v>
      </c>
      <c r="F112" t="s">
        <v>535</v>
      </c>
      <c r="G112" t="s">
        <v>21</v>
      </c>
      <c r="H112" s="1">
        <v>45438</v>
      </c>
      <c r="I112" s="1">
        <v>45496</v>
      </c>
    </row>
    <row r="113" spans="1:9" x14ac:dyDescent="0.25">
      <c r="A113" t="s">
        <v>158</v>
      </c>
      <c r="B113" t="s">
        <v>19</v>
      </c>
      <c r="C113" t="s">
        <v>15</v>
      </c>
      <c r="D113">
        <f>_xlfn.XLOOKUP(C113, stage_mapping!$A$1:$A$8, stage_mapping!$B$1:$B$8)</f>
        <v>2</v>
      </c>
      <c r="E113">
        <v>26.2</v>
      </c>
      <c r="F113" t="s">
        <v>16</v>
      </c>
      <c r="G113" t="s">
        <v>12</v>
      </c>
      <c r="H113" s="1">
        <v>45842</v>
      </c>
      <c r="I113" s="1"/>
    </row>
    <row r="114" spans="1:9" x14ac:dyDescent="0.25">
      <c r="A114" t="s">
        <v>159</v>
      </c>
      <c r="B114" t="s">
        <v>31</v>
      </c>
      <c r="C114" t="s">
        <v>24</v>
      </c>
      <c r="D114">
        <f>_xlfn.XLOOKUP(C114, stage_mapping!$A$1:$A$8, stage_mapping!$B$1:$B$8)</f>
        <v>8</v>
      </c>
      <c r="E114">
        <v>14573</v>
      </c>
      <c r="F114" t="s">
        <v>535</v>
      </c>
      <c r="G114" t="s">
        <v>21</v>
      </c>
      <c r="H114" s="1">
        <v>45386</v>
      </c>
      <c r="I114" s="1">
        <v>45480</v>
      </c>
    </row>
    <row r="115" spans="1:9" x14ac:dyDescent="0.25">
      <c r="A115" t="s">
        <v>160</v>
      </c>
      <c r="B115" t="s">
        <v>42</v>
      </c>
      <c r="C115" t="s">
        <v>10</v>
      </c>
      <c r="D115">
        <f>_xlfn.XLOOKUP(C115, stage_mapping!$A$1:$A$8, stage_mapping!$B$1:$B$8)</f>
        <v>1</v>
      </c>
      <c r="E115">
        <v>63177</v>
      </c>
      <c r="F115" t="s">
        <v>32</v>
      </c>
      <c r="G115" t="s">
        <v>12</v>
      </c>
      <c r="H115" s="1">
        <v>45412</v>
      </c>
      <c r="I115" s="1"/>
    </row>
    <row r="116" spans="1:9" x14ac:dyDescent="0.25">
      <c r="A116" t="s">
        <v>161</v>
      </c>
      <c r="B116" t="s">
        <v>34</v>
      </c>
      <c r="C116" t="s">
        <v>35</v>
      </c>
      <c r="D116">
        <f>_xlfn.XLOOKUP(C116, stage_mapping!$A$1:$A$8, stage_mapping!$B$1:$B$8)</f>
        <v>4</v>
      </c>
      <c r="E116">
        <v>64296</v>
      </c>
      <c r="F116" t="s">
        <v>28</v>
      </c>
      <c r="G116" t="s">
        <v>17</v>
      </c>
      <c r="H116" s="1">
        <v>45772</v>
      </c>
      <c r="I116" s="1"/>
    </row>
    <row r="117" spans="1:9" x14ac:dyDescent="0.25">
      <c r="A117" t="s">
        <v>162</v>
      </c>
      <c r="B117" t="s">
        <v>34</v>
      </c>
      <c r="C117" t="s">
        <v>49</v>
      </c>
      <c r="D117">
        <f>_xlfn.XLOOKUP(C117, stage_mapping!$A$1:$A$8, stage_mapping!$B$1:$B$8)</f>
        <v>6</v>
      </c>
      <c r="E117">
        <v>67158</v>
      </c>
      <c r="F117" t="s">
        <v>20</v>
      </c>
      <c r="G117" t="s">
        <v>17</v>
      </c>
      <c r="H117" s="1">
        <v>45855</v>
      </c>
      <c r="I117" s="1"/>
    </row>
    <row r="118" spans="1:9" x14ac:dyDescent="0.25">
      <c r="A118" t="s">
        <v>163</v>
      </c>
      <c r="B118" t="s">
        <v>14</v>
      </c>
      <c r="C118" t="s">
        <v>24</v>
      </c>
      <c r="D118">
        <f>_xlfn.XLOOKUP(C118, stage_mapping!$A$1:$A$8, stage_mapping!$B$1:$B$8)</f>
        <v>8</v>
      </c>
      <c r="E118">
        <v>58391</v>
      </c>
      <c r="F118" t="s">
        <v>32</v>
      </c>
      <c r="G118" t="s">
        <v>17</v>
      </c>
      <c r="H118" s="1">
        <v>45368</v>
      </c>
      <c r="I118" s="1">
        <v>45446</v>
      </c>
    </row>
    <row r="119" spans="1:9" x14ac:dyDescent="0.25">
      <c r="A119" t="s">
        <v>164</v>
      </c>
      <c r="B119" t="s">
        <v>9</v>
      </c>
      <c r="C119" t="s">
        <v>49</v>
      </c>
      <c r="D119">
        <f>_xlfn.XLOOKUP(C119, stage_mapping!$A$1:$A$8, stage_mapping!$B$1:$B$8)</f>
        <v>6</v>
      </c>
      <c r="E119">
        <v>54685</v>
      </c>
      <c r="F119" t="s">
        <v>11</v>
      </c>
      <c r="G119" t="s">
        <v>21</v>
      </c>
      <c r="H119" s="1">
        <v>45834</v>
      </c>
      <c r="I119" s="1"/>
    </row>
    <row r="120" spans="1:9" x14ac:dyDescent="0.25">
      <c r="A120" t="s">
        <v>165</v>
      </c>
      <c r="B120" t="s">
        <v>31</v>
      </c>
      <c r="C120" t="s">
        <v>35</v>
      </c>
      <c r="D120">
        <f>_xlfn.XLOOKUP(C120, stage_mapping!$A$1:$A$8, stage_mapping!$B$1:$B$8)</f>
        <v>4</v>
      </c>
      <c r="E120">
        <v>11210</v>
      </c>
      <c r="F120" t="s">
        <v>20</v>
      </c>
      <c r="G120" t="s">
        <v>21</v>
      </c>
      <c r="H120" s="1">
        <v>45372</v>
      </c>
      <c r="I120" s="1"/>
    </row>
    <row r="121" spans="1:9" x14ac:dyDescent="0.25">
      <c r="A121" t="s">
        <v>166</v>
      </c>
      <c r="B121" t="s">
        <v>37</v>
      </c>
      <c r="C121" t="s">
        <v>10</v>
      </c>
      <c r="D121">
        <f>_xlfn.XLOOKUP(C121, stage_mapping!$A$1:$A$8, stage_mapping!$B$1:$B$8)</f>
        <v>1</v>
      </c>
      <c r="E121">
        <v>19847</v>
      </c>
      <c r="F121" t="s">
        <v>43</v>
      </c>
      <c r="G121" t="s">
        <v>29</v>
      </c>
      <c r="H121" s="1">
        <v>45467</v>
      </c>
      <c r="I121" s="1"/>
    </row>
    <row r="122" spans="1:9" x14ac:dyDescent="0.25">
      <c r="A122" t="s">
        <v>167</v>
      </c>
      <c r="B122" t="s">
        <v>79</v>
      </c>
      <c r="C122" t="s">
        <v>15</v>
      </c>
      <c r="D122">
        <f>_xlfn.XLOOKUP(C122, stage_mapping!$A$1:$A$8, stage_mapping!$B$1:$B$8)</f>
        <v>2</v>
      </c>
      <c r="E122">
        <v>44464</v>
      </c>
      <c r="F122" t="s">
        <v>535</v>
      </c>
      <c r="G122" t="s">
        <v>12</v>
      </c>
      <c r="H122" s="1">
        <v>45965</v>
      </c>
      <c r="I122" s="1"/>
    </row>
    <row r="123" spans="1:9" x14ac:dyDescent="0.25">
      <c r="A123" t="s">
        <v>168</v>
      </c>
      <c r="B123" t="s">
        <v>19</v>
      </c>
      <c r="C123" t="s">
        <v>35</v>
      </c>
      <c r="D123">
        <f>_xlfn.XLOOKUP(C123, stage_mapping!$A$1:$A$8, stage_mapping!$B$1:$B$8)</f>
        <v>4</v>
      </c>
      <c r="E123">
        <v>15543</v>
      </c>
      <c r="F123" t="s">
        <v>535</v>
      </c>
      <c r="G123" t="s">
        <v>29</v>
      </c>
      <c r="H123" s="1">
        <v>45346</v>
      </c>
      <c r="I123" s="1">
        <v>45401</v>
      </c>
    </row>
    <row r="124" spans="1:9" x14ac:dyDescent="0.25">
      <c r="A124" t="s">
        <v>169</v>
      </c>
      <c r="B124" t="s">
        <v>23</v>
      </c>
      <c r="C124" t="s">
        <v>10</v>
      </c>
      <c r="D124">
        <f>_xlfn.XLOOKUP(C124, stage_mapping!$A$1:$A$8, stage_mapping!$B$1:$B$8)</f>
        <v>1</v>
      </c>
      <c r="E124">
        <v>14986</v>
      </c>
      <c r="F124" t="s">
        <v>535</v>
      </c>
      <c r="G124" t="s">
        <v>12</v>
      </c>
      <c r="H124" s="1">
        <v>45544</v>
      </c>
      <c r="I124" s="1"/>
    </row>
    <row r="125" spans="1:9" x14ac:dyDescent="0.25">
      <c r="A125" t="s">
        <v>170</v>
      </c>
      <c r="B125" t="s">
        <v>79</v>
      </c>
      <c r="C125" t="s">
        <v>35</v>
      </c>
      <c r="D125">
        <f>_xlfn.XLOOKUP(C125, stage_mapping!$A$1:$A$8, stage_mapping!$B$1:$B$8)</f>
        <v>4</v>
      </c>
      <c r="E125">
        <v>36176</v>
      </c>
      <c r="F125" t="s">
        <v>11</v>
      </c>
      <c r="G125" t="s">
        <v>12</v>
      </c>
      <c r="H125" s="1">
        <v>45709</v>
      </c>
      <c r="I125" s="1"/>
    </row>
    <row r="126" spans="1:9" x14ac:dyDescent="0.25">
      <c r="A126" t="s">
        <v>171</v>
      </c>
      <c r="B126" t="s">
        <v>19</v>
      </c>
      <c r="C126" t="s">
        <v>35</v>
      </c>
      <c r="D126">
        <f>_xlfn.XLOOKUP(C126, stage_mapping!$A$1:$A$8, stage_mapping!$B$1:$B$8)</f>
        <v>4</v>
      </c>
      <c r="E126">
        <v>25374</v>
      </c>
      <c r="F126" t="s">
        <v>20</v>
      </c>
      <c r="G126" t="s">
        <v>29</v>
      </c>
      <c r="H126" s="1">
        <v>45737</v>
      </c>
      <c r="I126" s="1"/>
    </row>
    <row r="127" spans="1:9" x14ac:dyDescent="0.25">
      <c r="A127" t="s">
        <v>172</v>
      </c>
      <c r="B127" t="s">
        <v>47</v>
      </c>
      <c r="C127" t="s">
        <v>24</v>
      </c>
      <c r="D127">
        <f>_xlfn.XLOOKUP(C127, stage_mapping!$A$1:$A$8, stage_mapping!$B$1:$B$8)</f>
        <v>8</v>
      </c>
      <c r="E127">
        <v>7462</v>
      </c>
      <c r="F127" t="s">
        <v>16</v>
      </c>
      <c r="G127" t="s">
        <v>12</v>
      </c>
      <c r="H127" s="1">
        <v>45732</v>
      </c>
      <c r="I127" s="1">
        <v>45867</v>
      </c>
    </row>
    <row r="128" spans="1:9" x14ac:dyDescent="0.25">
      <c r="A128" t="s">
        <v>173</v>
      </c>
      <c r="B128" t="s">
        <v>19</v>
      </c>
      <c r="C128" t="s">
        <v>24</v>
      </c>
      <c r="D128">
        <f>_xlfn.XLOOKUP(C128, stage_mapping!$A$1:$A$8, stage_mapping!$B$1:$B$8)</f>
        <v>8</v>
      </c>
      <c r="E128">
        <v>60336</v>
      </c>
      <c r="F128" t="s">
        <v>11</v>
      </c>
      <c r="G128" t="s">
        <v>29</v>
      </c>
      <c r="H128" s="1">
        <v>45855</v>
      </c>
      <c r="I128" s="1">
        <v>45911</v>
      </c>
    </row>
    <row r="129" spans="1:9" x14ac:dyDescent="0.25">
      <c r="A129" t="s">
        <v>174</v>
      </c>
      <c r="B129" t="s">
        <v>34</v>
      </c>
      <c r="C129" t="s">
        <v>35</v>
      </c>
      <c r="D129">
        <f>_xlfn.XLOOKUP(C129, stage_mapping!$A$1:$A$8, stage_mapping!$B$1:$B$8)</f>
        <v>4</v>
      </c>
      <c r="E129">
        <v>24178</v>
      </c>
      <c r="F129" t="s">
        <v>11</v>
      </c>
      <c r="G129" t="s">
        <v>17</v>
      </c>
      <c r="H129" s="1">
        <v>45751</v>
      </c>
      <c r="I129" s="1"/>
    </row>
    <row r="130" spans="1:9" x14ac:dyDescent="0.25">
      <c r="A130" t="s">
        <v>175</v>
      </c>
      <c r="B130" t="s">
        <v>56</v>
      </c>
      <c r="C130" t="s">
        <v>10</v>
      </c>
      <c r="D130">
        <f>_xlfn.XLOOKUP(C130, stage_mapping!$A$1:$A$8, stage_mapping!$B$1:$B$8)</f>
        <v>1</v>
      </c>
      <c r="E130">
        <v>6005</v>
      </c>
      <c r="F130" t="s">
        <v>535</v>
      </c>
      <c r="G130" t="s">
        <v>12</v>
      </c>
      <c r="H130" s="1">
        <v>45985</v>
      </c>
      <c r="I130" s="1"/>
    </row>
    <row r="131" spans="1:9" x14ac:dyDescent="0.25">
      <c r="A131" t="s">
        <v>176</v>
      </c>
      <c r="B131" t="s">
        <v>70</v>
      </c>
      <c r="C131" t="s">
        <v>35</v>
      </c>
      <c r="D131">
        <f>_xlfn.XLOOKUP(C131, stage_mapping!$A$1:$A$8, stage_mapping!$B$1:$B$8)</f>
        <v>4</v>
      </c>
      <c r="E131">
        <v>7079</v>
      </c>
      <c r="F131" t="s">
        <v>32</v>
      </c>
      <c r="G131" t="s">
        <v>29</v>
      </c>
      <c r="H131" s="1">
        <v>45379</v>
      </c>
      <c r="I131" s="1"/>
    </row>
    <row r="132" spans="1:9" x14ac:dyDescent="0.25">
      <c r="A132" t="s">
        <v>177</v>
      </c>
      <c r="B132" t="s">
        <v>56</v>
      </c>
      <c r="C132" t="s">
        <v>53</v>
      </c>
      <c r="D132">
        <f>_xlfn.XLOOKUP(C132, stage_mapping!$A$1:$A$8, stage_mapping!$B$1:$B$8)</f>
        <v>7</v>
      </c>
      <c r="E132">
        <v>16909</v>
      </c>
      <c r="F132" t="s">
        <v>535</v>
      </c>
      <c r="G132" t="s">
        <v>17</v>
      </c>
      <c r="H132" s="1">
        <v>45541</v>
      </c>
      <c r="I132" s="1">
        <v>45586</v>
      </c>
    </row>
    <row r="133" spans="1:9" x14ac:dyDescent="0.25">
      <c r="A133" t="s">
        <v>178</v>
      </c>
      <c r="B133" t="s">
        <v>42</v>
      </c>
      <c r="C133" t="s">
        <v>53</v>
      </c>
      <c r="D133">
        <f>_xlfn.XLOOKUP(C133, stage_mapping!$A$1:$A$8, stage_mapping!$B$1:$B$8)</f>
        <v>7</v>
      </c>
      <c r="E133">
        <v>10305</v>
      </c>
      <c r="F133" t="s">
        <v>16</v>
      </c>
      <c r="G133" t="s">
        <v>17</v>
      </c>
      <c r="H133" s="1">
        <v>46012</v>
      </c>
      <c r="I133" s="1">
        <v>46067</v>
      </c>
    </row>
    <row r="134" spans="1:9" x14ac:dyDescent="0.25">
      <c r="A134" t="s">
        <v>179</v>
      </c>
      <c r="B134" t="s">
        <v>56</v>
      </c>
      <c r="C134" t="s">
        <v>53</v>
      </c>
      <c r="D134">
        <f>_xlfn.XLOOKUP(C134, stage_mapping!$A$1:$A$8, stage_mapping!$B$1:$B$8)</f>
        <v>7</v>
      </c>
      <c r="E134">
        <v>52178</v>
      </c>
      <c r="F134" t="s">
        <v>43</v>
      </c>
      <c r="G134" t="s">
        <v>17</v>
      </c>
      <c r="H134" s="1">
        <v>45596</v>
      </c>
      <c r="I134" s="1">
        <v>45643</v>
      </c>
    </row>
    <row r="135" spans="1:9" x14ac:dyDescent="0.25">
      <c r="A135" t="s">
        <v>180</v>
      </c>
      <c r="B135" t="s">
        <v>23</v>
      </c>
      <c r="C135" t="s">
        <v>24</v>
      </c>
      <c r="D135">
        <f>_xlfn.XLOOKUP(C135, stage_mapping!$A$1:$A$8, stage_mapping!$B$1:$B$8)</f>
        <v>8</v>
      </c>
      <c r="E135">
        <v>12187</v>
      </c>
      <c r="F135" t="s">
        <v>43</v>
      </c>
      <c r="G135" t="s">
        <v>12</v>
      </c>
      <c r="H135" s="1">
        <v>45469</v>
      </c>
      <c r="I135" s="1">
        <v>45520</v>
      </c>
    </row>
    <row r="136" spans="1:9" x14ac:dyDescent="0.25">
      <c r="A136" t="s">
        <v>181</v>
      </c>
      <c r="B136" t="s">
        <v>19</v>
      </c>
      <c r="C136" t="s">
        <v>35</v>
      </c>
      <c r="D136">
        <f>_xlfn.XLOOKUP(C136, stage_mapping!$A$1:$A$8, stage_mapping!$B$1:$B$8)</f>
        <v>4</v>
      </c>
      <c r="E136">
        <v>11627</v>
      </c>
      <c r="F136" t="s">
        <v>535</v>
      </c>
      <c r="G136" t="s">
        <v>21</v>
      </c>
      <c r="H136" s="1">
        <v>45792</v>
      </c>
      <c r="I136" s="1"/>
    </row>
    <row r="137" spans="1:9" x14ac:dyDescent="0.25">
      <c r="A137" t="s">
        <v>182</v>
      </c>
      <c r="B137" t="s">
        <v>14</v>
      </c>
      <c r="C137" t="s">
        <v>53</v>
      </c>
      <c r="D137">
        <f>_xlfn.XLOOKUP(C137, stage_mapping!$A$1:$A$8, stage_mapping!$B$1:$B$8)</f>
        <v>7</v>
      </c>
      <c r="E137">
        <v>37881</v>
      </c>
      <c r="F137" t="s">
        <v>11</v>
      </c>
      <c r="G137" t="s">
        <v>17</v>
      </c>
      <c r="H137" s="1">
        <v>45667</v>
      </c>
      <c r="I137" s="1">
        <v>45726</v>
      </c>
    </row>
    <row r="138" spans="1:9" x14ac:dyDescent="0.25">
      <c r="A138" t="s">
        <v>183</v>
      </c>
      <c r="B138" t="s">
        <v>79</v>
      </c>
      <c r="C138" t="s">
        <v>24</v>
      </c>
      <c r="D138">
        <f>_xlfn.XLOOKUP(C138, stage_mapping!$A$1:$A$8, stage_mapping!$B$1:$B$8)</f>
        <v>8</v>
      </c>
      <c r="E138">
        <v>8588</v>
      </c>
      <c r="F138" t="s">
        <v>16</v>
      </c>
      <c r="G138" t="s">
        <v>12</v>
      </c>
      <c r="H138" s="1">
        <v>45534</v>
      </c>
      <c r="I138" s="1">
        <v>45578</v>
      </c>
    </row>
    <row r="139" spans="1:9" x14ac:dyDescent="0.25">
      <c r="A139" t="s">
        <v>184</v>
      </c>
      <c r="B139" t="s">
        <v>39</v>
      </c>
      <c r="C139" t="s">
        <v>35</v>
      </c>
      <c r="D139">
        <f>_xlfn.XLOOKUP(C139, stage_mapping!$A$1:$A$8, stage_mapping!$B$1:$B$8)</f>
        <v>4</v>
      </c>
      <c r="E139">
        <v>8090</v>
      </c>
      <c r="F139" t="s">
        <v>20</v>
      </c>
      <c r="G139" t="s">
        <v>12</v>
      </c>
      <c r="H139" s="1">
        <v>46012</v>
      </c>
      <c r="I139" s="1"/>
    </row>
    <row r="140" spans="1:9" x14ac:dyDescent="0.25">
      <c r="A140" t="s">
        <v>185</v>
      </c>
      <c r="B140" t="s">
        <v>63</v>
      </c>
      <c r="C140" t="s">
        <v>53</v>
      </c>
      <c r="D140">
        <f>_xlfn.XLOOKUP(C140, stage_mapping!$A$1:$A$8, stage_mapping!$B$1:$B$8)</f>
        <v>7</v>
      </c>
      <c r="E140">
        <v>12469</v>
      </c>
      <c r="F140" t="s">
        <v>20</v>
      </c>
      <c r="G140" t="s">
        <v>17</v>
      </c>
      <c r="H140" s="1">
        <v>45984</v>
      </c>
      <c r="I140" s="1">
        <v>46018</v>
      </c>
    </row>
    <row r="141" spans="1:9" x14ac:dyDescent="0.25">
      <c r="A141" t="s">
        <v>186</v>
      </c>
      <c r="B141" t="s">
        <v>70</v>
      </c>
      <c r="C141" t="s">
        <v>53</v>
      </c>
      <c r="D141">
        <f>_xlfn.XLOOKUP(C141, stage_mapping!$A$1:$A$8, stage_mapping!$B$1:$B$8)</f>
        <v>7</v>
      </c>
      <c r="E141">
        <v>20437</v>
      </c>
      <c r="F141" t="s">
        <v>11</v>
      </c>
      <c r="G141" t="s">
        <v>12</v>
      </c>
      <c r="H141" s="1">
        <v>45761</v>
      </c>
      <c r="I141" s="1">
        <v>45793</v>
      </c>
    </row>
    <row r="142" spans="1:9" x14ac:dyDescent="0.25">
      <c r="A142" t="s">
        <v>187</v>
      </c>
      <c r="B142" t="s">
        <v>34</v>
      </c>
      <c r="C142" t="s">
        <v>24</v>
      </c>
      <c r="D142">
        <f>_xlfn.XLOOKUP(C142, stage_mapping!$A$1:$A$8, stage_mapping!$B$1:$B$8)</f>
        <v>8</v>
      </c>
      <c r="E142">
        <v>77849</v>
      </c>
      <c r="F142" t="s">
        <v>11</v>
      </c>
      <c r="G142" t="s">
        <v>17</v>
      </c>
      <c r="H142" s="1">
        <v>45990</v>
      </c>
      <c r="I142" s="1">
        <v>46076</v>
      </c>
    </row>
    <row r="143" spans="1:9" x14ac:dyDescent="0.25">
      <c r="A143" t="s">
        <v>188</v>
      </c>
      <c r="B143" t="s">
        <v>79</v>
      </c>
      <c r="C143" t="s">
        <v>35</v>
      </c>
      <c r="D143">
        <f>_xlfn.XLOOKUP(C143, stage_mapping!$A$1:$A$8, stage_mapping!$B$1:$B$8)</f>
        <v>4</v>
      </c>
      <c r="E143">
        <v>112917</v>
      </c>
      <c r="F143" t="s">
        <v>20</v>
      </c>
      <c r="G143" t="s">
        <v>12</v>
      </c>
      <c r="H143" s="1">
        <v>45461</v>
      </c>
      <c r="I143" s="1"/>
    </row>
    <row r="144" spans="1:9" x14ac:dyDescent="0.25">
      <c r="A144" t="s">
        <v>189</v>
      </c>
      <c r="B144" t="s">
        <v>47</v>
      </c>
      <c r="C144" t="s">
        <v>35</v>
      </c>
      <c r="D144">
        <f>_xlfn.XLOOKUP(C144, stage_mapping!$A$1:$A$8, stage_mapping!$B$1:$B$8)</f>
        <v>4</v>
      </c>
      <c r="E144">
        <v>9254</v>
      </c>
      <c r="F144" t="s">
        <v>32</v>
      </c>
      <c r="G144" t="s">
        <v>17</v>
      </c>
      <c r="H144" s="1">
        <v>45364</v>
      </c>
      <c r="I144" s="1"/>
    </row>
    <row r="145" spans="1:9" x14ac:dyDescent="0.25">
      <c r="A145" t="s">
        <v>190</v>
      </c>
      <c r="B145" t="s">
        <v>37</v>
      </c>
      <c r="C145" t="s">
        <v>15</v>
      </c>
      <c r="D145">
        <f>_xlfn.XLOOKUP(C145, stage_mapping!$A$1:$A$8, stage_mapping!$B$1:$B$8)</f>
        <v>2</v>
      </c>
      <c r="E145">
        <v>18340</v>
      </c>
      <c r="F145" t="s">
        <v>43</v>
      </c>
      <c r="G145" t="s">
        <v>29</v>
      </c>
      <c r="H145" s="1">
        <v>45510</v>
      </c>
      <c r="I145" s="1"/>
    </row>
    <row r="146" spans="1:9" x14ac:dyDescent="0.25">
      <c r="A146" t="s">
        <v>191</v>
      </c>
      <c r="B146" t="s">
        <v>23</v>
      </c>
      <c r="C146" t="s">
        <v>49</v>
      </c>
      <c r="D146">
        <f>_xlfn.XLOOKUP(C146, stage_mapping!$A$1:$A$8, stage_mapping!$B$1:$B$8)</f>
        <v>6</v>
      </c>
      <c r="E146">
        <v>19678</v>
      </c>
      <c r="F146" t="s">
        <v>20</v>
      </c>
      <c r="G146" t="s">
        <v>12</v>
      </c>
      <c r="H146" s="1">
        <v>45907</v>
      </c>
      <c r="I146" s="1"/>
    </row>
    <row r="147" spans="1:9" x14ac:dyDescent="0.25">
      <c r="A147" t="s">
        <v>192</v>
      </c>
      <c r="B147" t="s">
        <v>34</v>
      </c>
      <c r="C147" t="s">
        <v>10</v>
      </c>
      <c r="D147">
        <f>_xlfn.XLOOKUP(C147, stage_mapping!$A$1:$A$8, stage_mapping!$B$1:$B$8)</f>
        <v>1</v>
      </c>
      <c r="E147">
        <v>12949</v>
      </c>
      <c r="F147" t="s">
        <v>16</v>
      </c>
      <c r="G147" t="s">
        <v>17</v>
      </c>
      <c r="H147" s="1">
        <v>45900</v>
      </c>
      <c r="I147" s="1"/>
    </row>
    <row r="148" spans="1:9" x14ac:dyDescent="0.25">
      <c r="A148" t="s">
        <v>193</v>
      </c>
      <c r="B148" t="s">
        <v>47</v>
      </c>
      <c r="C148" t="s">
        <v>10</v>
      </c>
      <c r="D148">
        <f>_xlfn.XLOOKUP(C148, stage_mapping!$A$1:$A$8, stage_mapping!$B$1:$B$8)</f>
        <v>1</v>
      </c>
      <c r="E148">
        <v>14803</v>
      </c>
      <c r="F148" t="s">
        <v>20</v>
      </c>
      <c r="G148" t="s">
        <v>17</v>
      </c>
      <c r="H148" s="1">
        <v>45699</v>
      </c>
      <c r="I148" s="1"/>
    </row>
    <row r="149" spans="1:9" x14ac:dyDescent="0.25">
      <c r="A149" t="s">
        <v>194</v>
      </c>
      <c r="B149" t="s">
        <v>81</v>
      </c>
      <c r="C149" t="s">
        <v>71</v>
      </c>
      <c r="D149">
        <f>_xlfn.XLOOKUP(C149, stage_mapping!$A$1:$A$8, stage_mapping!$B$1:$B$8)</f>
        <v>5</v>
      </c>
      <c r="E149">
        <v>26127</v>
      </c>
      <c r="F149" t="s">
        <v>20</v>
      </c>
      <c r="G149" t="s">
        <v>29</v>
      </c>
      <c r="H149" s="1">
        <v>45957</v>
      </c>
      <c r="I149" s="1"/>
    </row>
    <row r="150" spans="1:9" x14ac:dyDescent="0.25">
      <c r="A150" t="s">
        <v>195</v>
      </c>
      <c r="B150" t="s">
        <v>34</v>
      </c>
      <c r="C150" t="s">
        <v>10</v>
      </c>
      <c r="D150">
        <f>_xlfn.XLOOKUP(C150, stage_mapping!$A$1:$A$8, stage_mapping!$B$1:$B$8)</f>
        <v>1</v>
      </c>
      <c r="E150">
        <v>19915</v>
      </c>
      <c r="F150" t="s">
        <v>535</v>
      </c>
      <c r="G150" t="s">
        <v>17</v>
      </c>
      <c r="H150" s="1">
        <v>46010</v>
      </c>
      <c r="I150" s="1"/>
    </row>
    <row r="151" spans="1:9" x14ac:dyDescent="0.25">
      <c r="A151" t="s">
        <v>196</v>
      </c>
      <c r="B151" t="s">
        <v>79</v>
      </c>
      <c r="C151" t="s">
        <v>49</v>
      </c>
      <c r="D151">
        <f>_xlfn.XLOOKUP(C151, stage_mapping!$A$1:$A$8, stage_mapping!$B$1:$B$8)</f>
        <v>6</v>
      </c>
      <c r="E151">
        <v>29562</v>
      </c>
      <c r="F151" t="s">
        <v>535</v>
      </c>
      <c r="G151" t="s">
        <v>12</v>
      </c>
      <c r="H151" s="1">
        <v>45758</v>
      </c>
      <c r="I151" s="1"/>
    </row>
    <row r="152" spans="1:9" x14ac:dyDescent="0.25">
      <c r="A152" t="s">
        <v>197</v>
      </c>
      <c r="B152" t="s">
        <v>31</v>
      </c>
      <c r="C152" t="s">
        <v>15</v>
      </c>
      <c r="D152">
        <f>_xlfn.XLOOKUP(C152, stage_mapping!$A$1:$A$8, stage_mapping!$B$1:$B$8)</f>
        <v>2</v>
      </c>
      <c r="E152">
        <v>26349</v>
      </c>
      <c r="F152" t="s">
        <v>16</v>
      </c>
      <c r="G152" t="s">
        <v>21</v>
      </c>
      <c r="H152" s="1">
        <v>45328</v>
      </c>
      <c r="I152" s="1"/>
    </row>
    <row r="153" spans="1:9" x14ac:dyDescent="0.25">
      <c r="A153" t="s">
        <v>198</v>
      </c>
      <c r="B153" t="s">
        <v>27</v>
      </c>
      <c r="C153" t="s">
        <v>24</v>
      </c>
      <c r="D153">
        <f>_xlfn.XLOOKUP(C153, stage_mapping!$A$1:$A$8, stage_mapping!$B$1:$B$8)</f>
        <v>8</v>
      </c>
      <c r="E153">
        <v>10316</v>
      </c>
      <c r="F153" t="s">
        <v>32</v>
      </c>
      <c r="G153" t="s">
        <v>29</v>
      </c>
      <c r="H153" s="1">
        <v>45768</v>
      </c>
      <c r="I153" s="1">
        <v>45844</v>
      </c>
    </row>
    <row r="154" spans="1:9" x14ac:dyDescent="0.25">
      <c r="A154" t="s">
        <v>199</v>
      </c>
      <c r="B154" t="s">
        <v>68</v>
      </c>
      <c r="C154" t="s">
        <v>53</v>
      </c>
      <c r="D154">
        <f>_xlfn.XLOOKUP(C154, stage_mapping!$A$1:$A$8, stage_mapping!$B$1:$B$8)</f>
        <v>7</v>
      </c>
      <c r="E154">
        <v>21676</v>
      </c>
      <c r="F154" t="s">
        <v>32</v>
      </c>
      <c r="G154" t="s">
        <v>29</v>
      </c>
      <c r="H154" s="1">
        <v>45298</v>
      </c>
      <c r="I154" s="1">
        <v>45354</v>
      </c>
    </row>
    <row r="155" spans="1:9" x14ac:dyDescent="0.25">
      <c r="A155" t="s">
        <v>200</v>
      </c>
      <c r="B155" t="s">
        <v>39</v>
      </c>
      <c r="C155" t="s">
        <v>10</v>
      </c>
      <c r="D155">
        <f>_xlfn.XLOOKUP(C155, stage_mapping!$A$1:$A$8, stage_mapping!$B$1:$B$8)</f>
        <v>1</v>
      </c>
      <c r="E155">
        <v>5331</v>
      </c>
      <c r="F155" t="s">
        <v>20</v>
      </c>
      <c r="G155" t="s">
        <v>29</v>
      </c>
      <c r="H155" s="1">
        <v>45824</v>
      </c>
      <c r="I155" s="1"/>
    </row>
    <row r="156" spans="1:9" x14ac:dyDescent="0.25">
      <c r="A156" t="s">
        <v>201</v>
      </c>
      <c r="B156" t="s">
        <v>63</v>
      </c>
      <c r="C156" t="s">
        <v>24</v>
      </c>
      <c r="D156">
        <f>_xlfn.XLOOKUP(C156, stage_mapping!$A$1:$A$8, stage_mapping!$B$1:$B$8)</f>
        <v>8</v>
      </c>
      <c r="E156">
        <v>11667</v>
      </c>
      <c r="F156" t="s">
        <v>28</v>
      </c>
      <c r="G156" t="s">
        <v>17</v>
      </c>
      <c r="H156" s="1">
        <v>45626</v>
      </c>
      <c r="I156" s="1">
        <v>45693</v>
      </c>
    </row>
    <row r="157" spans="1:9" x14ac:dyDescent="0.25">
      <c r="A157" t="s">
        <v>202</v>
      </c>
      <c r="B157" t="s">
        <v>56</v>
      </c>
      <c r="C157" t="s">
        <v>35</v>
      </c>
      <c r="D157">
        <f>_xlfn.XLOOKUP(C157, stage_mapping!$A$1:$A$8, stage_mapping!$B$1:$B$8)</f>
        <v>4</v>
      </c>
      <c r="E157">
        <v>4858</v>
      </c>
      <c r="F157" t="s">
        <v>16</v>
      </c>
      <c r="G157" t="s">
        <v>17</v>
      </c>
      <c r="H157" s="1">
        <v>45384</v>
      </c>
      <c r="I157" s="1"/>
    </row>
    <row r="158" spans="1:9" x14ac:dyDescent="0.25">
      <c r="A158" t="s">
        <v>203</v>
      </c>
      <c r="B158" t="s">
        <v>81</v>
      </c>
      <c r="C158" t="s">
        <v>24</v>
      </c>
      <c r="D158">
        <f>_xlfn.XLOOKUP(C158, stage_mapping!$A$1:$A$8, stage_mapping!$B$1:$B$8)</f>
        <v>8</v>
      </c>
      <c r="E158">
        <v>54007</v>
      </c>
      <c r="F158" t="s">
        <v>20</v>
      </c>
      <c r="G158" t="s">
        <v>17</v>
      </c>
      <c r="H158" s="1">
        <v>45706</v>
      </c>
      <c r="I158" s="1">
        <v>45766</v>
      </c>
    </row>
    <row r="159" spans="1:9" x14ac:dyDescent="0.25">
      <c r="A159" t="s">
        <v>204</v>
      </c>
      <c r="B159" t="s">
        <v>19</v>
      </c>
      <c r="C159" t="s">
        <v>10</v>
      </c>
      <c r="D159">
        <f>_xlfn.XLOOKUP(C159, stage_mapping!$A$1:$A$8, stage_mapping!$B$1:$B$8)</f>
        <v>1</v>
      </c>
      <c r="E159">
        <v>81076</v>
      </c>
      <c r="F159" t="s">
        <v>32</v>
      </c>
      <c r="G159" t="s">
        <v>29</v>
      </c>
      <c r="H159" s="1">
        <v>45368</v>
      </c>
      <c r="I159" s="1"/>
    </row>
    <row r="160" spans="1:9" x14ac:dyDescent="0.25">
      <c r="A160" t="s">
        <v>205</v>
      </c>
      <c r="B160" t="s">
        <v>68</v>
      </c>
      <c r="C160" t="s">
        <v>35</v>
      </c>
      <c r="D160">
        <f>_xlfn.XLOOKUP(C160, stage_mapping!$A$1:$A$8, stage_mapping!$B$1:$B$8)</f>
        <v>4</v>
      </c>
      <c r="E160">
        <v>11673</v>
      </c>
      <c r="F160" t="s">
        <v>16</v>
      </c>
      <c r="G160" t="s">
        <v>12</v>
      </c>
      <c r="H160" s="1">
        <v>45573</v>
      </c>
      <c r="I160" s="1"/>
    </row>
    <row r="161" spans="1:9" x14ac:dyDescent="0.25">
      <c r="A161" t="s">
        <v>206</v>
      </c>
      <c r="B161" t="s">
        <v>14</v>
      </c>
      <c r="C161" t="s">
        <v>35</v>
      </c>
      <c r="D161">
        <f>_xlfn.XLOOKUP(C161, stage_mapping!$A$1:$A$8, stage_mapping!$B$1:$B$8)</f>
        <v>4</v>
      </c>
      <c r="E161">
        <v>37435</v>
      </c>
      <c r="F161" t="s">
        <v>20</v>
      </c>
      <c r="G161" t="s">
        <v>21</v>
      </c>
      <c r="H161" s="1">
        <v>45871</v>
      </c>
      <c r="I161" s="1"/>
    </row>
    <row r="162" spans="1:9" x14ac:dyDescent="0.25">
      <c r="A162" t="s">
        <v>207</v>
      </c>
      <c r="B162" t="s">
        <v>45</v>
      </c>
      <c r="C162" t="s">
        <v>15</v>
      </c>
      <c r="D162">
        <f>_xlfn.XLOOKUP(C162, stage_mapping!$A$1:$A$8, stage_mapping!$B$1:$B$8)</f>
        <v>2</v>
      </c>
      <c r="E162">
        <v>2500</v>
      </c>
      <c r="F162" t="s">
        <v>20</v>
      </c>
      <c r="G162" t="s">
        <v>29</v>
      </c>
      <c r="H162" s="1">
        <v>45349</v>
      </c>
      <c r="I162" s="1"/>
    </row>
    <row r="163" spans="1:9" x14ac:dyDescent="0.25">
      <c r="A163" t="s">
        <v>208</v>
      </c>
      <c r="B163" t="s">
        <v>45</v>
      </c>
      <c r="C163" t="s">
        <v>24</v>
      </c>
      <c r="D163">
        <f>_xlfn.XLOOKUP(C163, stage_mapping!$A$1:$A$8, stage_mapping!$B$1:$B$8)</f>
        <v>8</v>
      </c>
      <c r="E163">
        <v>14067</v>
      </c>
      <c r="F163" t="s">
        <v>32</v>
      </c>
      <c r="G163" t="s">
        <v>21</v>
      </c>
      <c r="H163" s="1">
        <v>45796</v>
      </c>
      <c r="I163" s="1">
        <v>45863</v>
      </c>
    </row>
    <row r="164" spans="1:9" x14ac:dyDescent="0.25">
      <c r="A164" t="s">
        <v>209</v>
      </c>
      <c r="B164" t="s">
        <v>63</v>
      </c>
      <c r="C164" t="s">
        <v>24</v>
      </c>
      <c r="D164">
        <f>_xlfn.XLOOKUP(C164, stage_mapping!$A$1:$A$8, stage_mapping!$B$1:$B$8)</f>
        <v>8</v>
      </c>
      <c r="E164">
        <v>3158</v>
      </c>
      <c r="F164" t="s">
        <v>32</v>
      </c>
      <c r="G164" t="s">
        <v>17</v>
      </c>
      <c r="H164" s="1">
        <v>45314</v>
      </c>
      <c r="I164" s="1">
        <v>45392</v>
      </c>
    </row>
    <row r="165" spans="1:9" x14ac:dyDescent="0.25">
      <c r="A165" t="s">
        <v>210</v>
      </c>
      <c r="B165" t="s">
        <v>105</v>
      </c>
      <c r="C165" t="s">
        <v>35</v>
      </c>
      <c r="D165">
        <f>_xlfn.XLOOKUP(C165, stage_mapping!$A$1:$A$8, stage_mapping!$B$1:$B$8)</f>
        <v>4</v>
      </c>
      <c r="E165">
        <v>20125</v>
      </c>
      <c r="F165" t="s">
        <v>535</v>
      </c>
      <c r="G165" t="s">
        <v>29</v>
      </c>
      <c r="H165" s="1">
        <v>45790</v>
      </c>
      <c r="I165" s="1"/>
    </row>
    <row r="166" spans="1:9" x14ac:dyDescent="0.25">
      <c r="A166" t="s">
        <v>211</v>
      </c>
      <c r="B166" t="s">
        <v>63</v>
      </c>
      <c r="C166" t="s">
        <v>24</v>
      </c>
      <c r="D166">
        <f>_xlfn.XLOOKUP(C166, stage_mapping!$A$1:$A$8, stage_mapping!$B$1:$B$8)</f>
        <v>8</v>
      </c>
      <c r="E166">
        <v>6117</v>
      </c>
      <c r="F166" t="s">
        <v>32</v>
      </c>
      <c r="G166" t="s">
        <v>17</v>
      </c>
      <c r="H166" s="1">
        <v>45873</v>
      </c>
      <c r="I166" s="1">
        <v>45953</v>
      </c>
    </row>
    <row r="167" spans="1:9" x14ac:dyDescent="0.25">
      <c r="A167" t="s">
        <v>212</v>
      </c>
      <c r="B167" t="s">
        <v>105</v>
      </c>
      <c r="C167" t="s">
        <v>53</v>
      </c>
      <c r="D167">
        <f>_xlfn.XLOOKUP(C167, stage_mapping!$A$1:$A$8, stage_mapping!$B$1:$B$8)</f>
        <v>7</v>
      </c>
      <c r="E167">
        <v>27336</v>
      </c>
      <c r="F167" t="s">
        <v>20</v>
      </c>
      <c r="G167" t="s">
        <v>29</v>
      </c>
      <c r="H167" s="1">
        <v>45402</v>
      </c>
      <c r="I167" s="1">
        <v>45435</v>
      </c>
    </row>
    <row r="168" spans="1:9" x14ac:dyDescent="0.25">
      <c r="A168" t="s">
        <v>213</v>
      </c>
      <c r="B168" t="s">
        <v>45</v>
      </c>
      <c r="C168" t="s">
        <v>35</v>
      </c>
      <c r="D168">
        <f>_xlfn.XLOOKUP(C168, stage_mapping!$A$1:$A$8, stage_mapping!$B$1:$B$8)</f>
        <v>4</v>
      </c>
      <c r="E168">
        <v>10094</v>
      </c>
      <c r="F168" t="s">
        <v>20</v>
      </c>
      <c r="G168" t="s">
        <v>21</v>
      </c>
      <c r="H168" s="1">
        <v>45326</v>
      </c>
      <c r="I168" s="1"/>
    </row>
    <row r="169" spans="1:9" x14ac:dyDescent="0.25">
      <c r="A169" t="s">
        <v>214</v>
      </c>
      <c r="B169" t="s">
        <v>9</v>
      </c>
      <c r="C169" t="s">
        <v>24</v>
      </c>
      <c r="D169">
        <f>_xlfn.XLOOKUP(C169, stage_mapping!$A$1:$A$8, stage_mapping!$B$1:$B$8)</f>
        <v>8</v>
      </c>
      <c r="E169">
        <v>19892</v>
      </c>
      <c r="F169" t="s">
        <v>11</v>
      </c>
      <c r="G169" t="s">
        <v>21</v>
      </c>
      <c r="H169" s="1">
        <v>45736</v>
      </c>
      <c r="I169" s="1">
        <v>45816</v>
      </c>
    </row>
    <row r="170" spans="1:9" x14ac:dyDescent="0.25">
      <c r="A170" t="s">
        <v>215</v>
      </c>
      <c r="B170" t="s">
        <v>45</v>
      </c>
      <c r="C170" t="s">
        <v>35</v>
      </c>
      <c r="D170">
        <f>_xlfn.XLOOKUP(C170, stage_mapping!$A$1:$A$8, stage_mapping!$B$1:$B$8)</f>
        <v>4</v>
      </c>
      <c r="E170">
        <v>33780</v>
      </c>
      <c r="F170" t="s">
        <v>11</v>
      </c>
      <c r="G170" t="s">
        <v>21</v>
      </c>
      <c r="H170" s="1">
        <v>45593</v>
      </c>
      <c r="I170" s="1"/>
    </row>
    <row r="171" spans="1:9" x14ac:dyDescent="0.25">
      <c r="A171" t="s">
        <v>216</v>
      </c>
      <c r="B171" t="s">
        <v>79</v>
      </c>
      <c r="C171" t="s">
        <v>35</v>
      </c>
      <c r="D171">
        <f>_xlfn.XLOOKUP(C171, stage_mapping!$A$1:$A$8, stage_mapping!$B$1:$B$8)</f>
        <v>4</v>
      </c>
      <c r="E171">
        <v>29659</v>
      </c>
      <c r="F171" t="s">
        <v>16</v>
      </c>
      <c r="G171" t="s">
        <v>12</v>
      </c>
      <c r="H171" s="1">
        <v>45483</v>
      </c>
      <c r="I171" s="1"/>
    </row>
    <row r="172" spans="1:9" x14ac:dyDescent="0.25">
      <c r="A172" t="s">
        <v>217</v>
      </c>
      <c r="B172" t="s">
        <v>45</v>
      </c>
      <c r="C172" t="s">
        <v>53</v>
      </c>
      <c r="D172">
        <f>_xlfn.XLOOKUP(C172, stage_mapping!$A$1:$A$8, stage_mapping!$B$1:$B$8)</f>
        <v>7</v>
      </c>
      <c r="E172">
        <v>17656</v>
      </c>
      <c r="F172" t="s">
        <v>28</v>
      </c>
      <c r="G172" t="s">
        <v>21</v>
      </c>
      <c r="H172" s="1">
        <v>45840</v>
      </c>
      <c r="I172" s="1">
        <v>45890</v>
      </c>
    </row>
    <row r="173" spans="1:9" x14ac:dyDescent="0.25">
      <c r="A173" t="s">
        <v>218</v>
      </c>
      <c r="B173" t="s">
        <v>70</v>
      </c>
      <c r="C173" t="s">
        <v>53</v>
      </c>
      <c r="D173">
        <f>_xlfn.XLOOKUP(C173, stage_mapping!$A$1:$A$8, stage_mapping!$B$1:$B$8)</f>
        <v>7</v>
      </c>
      <c r="E173">
        <v>4657</v>
      </c>
      <c r="F173" t="s">
        <v>32</v>
      </c>
      <c r="G173" t="s">
        <v>21</v>
      </c>
      <c r="H173" s="1">
        <v>45725</v>
      </c>
      <c r="I173" s="1">
        <v>45806</v>
      </c>
    </row>
    <row r="174" spans="1:9" x14ac:dyDescent="0.25">
      <c r="A174" t="s">
        <v>219</v>
      </c>
      <c r="B174" t="s">
        <v>81</v>
      </c>
      <c r="C174" t="s">
        <v>49</v>
      </c>
      <c r="D174">
        <f>_xlfn.XLOOKUP(C174, stage_mapping!$A$1:$A$8, stage_mapping!$B$1:$B$8)</f>
        <v>6</v>
      </c>
      <c r="E174">
        <v>13018</v>
      </c>
      <c r="F174" t="s">
        <v>28</v>
      </c>
      <c r="G174" t="s">
        <v>17</v>
      </c>
      <c r="H174" s="1">
        <v>45721</v>
      </c>
      <c r="I174" s="1"/>
    </row>
    <row r="175" spans="1:9" x14ac:dyDescent="0.25">
      <c r="A175" t="s">
        <v>220</v>
      </c>
      <c r="B175" t="s">
        <v>23</v>
      </c>
      <c r="C175" t="s">
        <v>49</v>
      </c>
      <c r="D175">
        <f>_xlfn.XLOOKUP(C175, stage_mapping!$A$1:$A$8, stage_mapping!$B$1:$B$8)</f>
        <v>6</v>
      </c>
      <c r="E175">
        <v>9286</v>
      </c>
      <c r="F175" t="s">
        <v>16</v>
      </c>
      <c r="G175" t="s">
        <v>12</v>
      </c>
      <c r="H175" s="1">
        <v>45574</v>
      </c>
      <c r="I175" s="1"/>
    </row>
    <row r="176" spans="1:9" x14ac:dyDescent="0.25">
      <c r="A176" t="s">
        <v>221</v>
      </c>
      <c r="B176" t="s">
        <v>47</v>
      </c>
      <c r="C176" t="s">
        <v>24</v>
      </c>
      <c r="D176">
        <f>_xlfn.XLOOKUP(C176, stage_mapping!$A$1:$A$8, stage_mapping!$B$1:$B$8)</f>
        <v>8</v>
      </c>
      <c r="E176">
        <v>9789</v>
      </c>
      <c r="F176" t="s">
        <v>20</v>
      </c>
      <c r="G176" t="s">
        <v>17</v>
      </c>
      <c r="H176" s="1">
        <v>45993</v>
      </c>
      <c r="I176" s="1">
        <v>46060</v>
      </c>
    </row>
    <row r="177" spans="1:9" x14ac:dyDescent="0.25">
      <c r="A177" t="s">
        <v>222</v>
      </c>
      <c r="B177" t="s">
        <v>39</v>
      </c>
      <c r="C177" t="s">
        <v>53</v>
      </c>
      <c r="D177">
        <f>_xlfn.XLOOKUP(C177, stage_mapping!$A$1:$A$8, stage_mapping!$B$1:$B$8)</f>
        <v>7</v>
      </c>
      <c r="E177">
        <v>20524</v>
      </c>
      <c r="F177" t="s">
        <v>11</v>
      </c>
      <c r="G177" t="s">
        <v>12</v>
      </c>
      <c r="H177" s="1">
        <v>45828</v>
      </c>
      <c r="I177" s="1">
        <v>45911</v>
      </c>
    </row>
    <row r="178" spans="1:9" x14ac:dyDescent="0.25">
      <c r="A178" t="s">
        <v>223</v>
      </c>
      <c r="B178" t="s">
        <v>47</v>
      </c>
      <c r="C178" t="s">
        <v>97</v>
      </c>
      <c r="D178">
        <f>_xlfn.XLOOKUP(C178, stage_mapping!$A$1:$A$8, stage_mapping!$B$1:$B$8)</f>
        <v>3</v>
      </c>
      <c r="E178">
        <v>11766</v>
      </c>
      <c r="F178" t="s">
        <v>43</v>
      </c>
      <c r="G178" t="s">
        <v>17</v>
      </c>
      <c r="H178" s="1">
        <v>45892</v>
      </c>
      <c r="I178" s="1"/>
    </row>
    <row r="179" spans="1:9" x14ac:dyDescent="0.25">
      <c r="A179" t="s">
        <v>224</v>
      </c>
      <c r="B179" t="s">
        <v>31</v>
      </c>
      <c r="C179" t="s">
        <v>49</v>
      </c>
      <c r="D179">
        <f>_xlfn.XLOOKUP(C179, stage_mapping!$A$1:$A$8, stage_mapping!$B$1:$B$8)</f>
        <v>6</v>
      </c>
      <c r="E179">
        <v>22582</v>
      </c>
      <c r="F179" t="s">
        <v>20</v>
      </c>
      <c r="G179" t="s">
        <v>21</v>
      </c>
      <c r="H179" s="1">
        <v>45990</v>
      </c>
      <c r="I179" s="1">
        <v>46027</v>
      </c>
    </row>
    <row r="180" spans="1:9" x14ac:dyDescent="0.25">
      <c r="A180" t="s">
        <v>225</v>
      </c>
      <c r="B180" t="s">
        <v>70</v>
      </c>
      <c r="C180" t="s">
        <v>35</v>
      </c>
      <c r="D180">
        <f>_xlfn.XLOOKUP(C180, stage_mapping!$A$1:$A$8, stage_mapping!$B$1:$B$8)</f>
        <v>4</v>
      </c>
      <c r="E180">
        <v>5451</v>
      </c>
      <c r="F180" t="s">
        <v>20</v>
      </c>
      <c r="G180" t="s">
        <v>21</v>
      </c>
      <c r="H180" s="1">
        <v>45890</v>
      </c>
      <c r="I180" s="1"/>
    </row>
    <row r="181" spans="1:9" x14ac:dyDescent="0.25">
      <c r="A181" t="s">
        <v>226</v>
      </c>
      <c r="B181" t="s">
        <v>105</v>
      </c>
      <c r="C181" t="s">
        <v>24</v>
      </c>
      <c r="D181">
        <f>_xlfn.XLOOKUP(C181, stage_mapping!$A$1:$A$8, stage_mapping!$B$1:$B$8)</f>
        <v>8</v>
      </c>
      <c r="E181">
        <v>16649</v>
      </c>
      <c r="F181" t="s">
        <v>535</v>
      </c>
      <c r="G181" t="s">
        <v>12</v>
      </c>
      <c r="H181" s="1">
        <v>45445</v>
      </c>
      <c r="I181" s="1">
        <v>45562</v>
      </c>
    </row>
    <row r="182" spans="1:9" x14ac:dyDescent="0.25">
      <c r="A182" t="s">
        <v>227</v>
      </c>
      <c r="B182" t="s">
        <v>23</v>
      </c>
      <c r="C182" t="s">
        <v>53</v>
      </c>
      <c r="D182">
        <f>_xlfn.XLOOKUP(C182, stage_mapping!$A$1:$A$8, stage_mapping!$B$1:$B$8)</f>
        <v>7</v>
      </c>
      <c r="E182">
        <v>6205</v>
      </c>
      <c r="F182" t="s">
        <v>11</v>
      </c>
      <c r="G182" t="s">
        <v>12</v>
      </c>
      <c r="H182" s="1">
        <v>45486</v>
      </c>
      <c r="I182" s="1">
        <v>45561</v>
      </c>
    </row>
    <row r="183" spans="1:9" x14ac:dyDescent="0.25">
      <c r="A183" t="s">
        <v>228</v>
      </c>
      <c r="B183" t="s">
        <v>14</v>
      </c>
      <c r="C183" t="s">
        <v>53</v>
      </c>
      <c r="D183">
        <f>_xlfn.XLOOKUP(C183, stage_mapping!$A$1:$A$8, stage_mapping!$B$1:$B$8)</f>
        <v>7</v>
      </c>
      <c r="E183">
        <v>47686</v>
      </c>
      <c r="F183" t="s">
        <v>16</v>
      </c>
      <c r="G183" t="s">
        <v>17</v>
      </c>
      <c r="H183" s="1">
        <v>45864</v>
      </c>
      <c r="I183" s="1">
        <v>45912</v>
      </c>
    </row>
    <row r="184" spans="1:9" x14ac:dyDescent="0.25">
      <c r="A184" t="s">
        <v>229</v>
      </c>
      <c r="B184" t="s">
        <v>34</v>
      </c>
      <c r="C184" t="s">
        <v>24</v>
      </c>
      <c r="D184">
        <f>_xlfn.XLOOKUP(C184, stage_mapping!$A$1:$A$8, stage_mapping!$B$1:$B$8)</f>
        <v>8</v>
      </c>
      <c r="E184">
        <v>32540</v>
      </c>
      <c r="F184" t="s">
        <v>16</v>
      </c>
      <c r="G184" t="s">
        <v>17</v>
      </c>
      <c r="H184" s="1">
        <v>45927</v>
      </c>
      <c r="I184" s="1">
        <v>45977</v>
      </c>
    </row>
    <row r="185" spans="1:9" x14ac:dyDescent="0.25">
      <c r="A185" t="s">
        <v>230</v>
      </c>
      <c r="B185" t="s">
        <v>63</v>
      </c>
      <c r="C185" t="s">
        <v>10</v>
      </c>
      <c r="D185">
        <f>_xlfn.XLOOKUP(C185, stage_mapping!$A$1:$A$8, stage_mapping!$B$1:$B$8)</f>
        <v>1</v>
      </c>
      <c r="E185">
        <v>9436</v>
      </c>
      <c r="F185" t="s">
        <v>11</v>
      </c>
      <c r="G185" t="s">
        <v>17</v>
      </c>
      <c r="H185" s="1">
        <v>45473</v>
      </c>
      <c r="I185" s="1"/>
    </row>
    <row r="186" spans="1:9" x14ac:dyDescent="0.25">
      <c r="A186" t="s">
        <v>231</v>
      </c>
      <c r="B186" t="s">
        <v>23</v>
      </c>
      <c r="C186" t="s">
        <v>10</v>
      </c>
      <c r="D186">
        <f>_xlfn.XLOOKUP(C186, stage_mapping!$A$1:$A$8, stage_mapping!$B$1:$B$8)</f>
        <v>1</v>
      </c>
      <c r="E186">
        <v>24322</v>
      </c>
      <c r="F186" t="s">
        <v>16</v>
      </c>
      <c r="G186" t="s">
        <v>25</v>
      </c>
      <c r="H186" s="1">
        <v>45674</v>
      </c>
      <c r="I186" s="1">
        <v>45679</v>
      </c>
    </row>
    <row r="187" spans="1:9" x14ac:dyDescent="0.25">
      <c r="A187" t="s">
        <v>232</v>
      </c>
      <c r="B187" t="s">
        <v>27</v>
      </c>
      <c r="C187" t="s">
        <v>97</v>
      </c>
      <c r="D187">
        <f>_xlfn.XLOOKUP(C187, stage_mapping!$A$1:$A$8, stage_mapping!$B$1:$B$8)</f>
        <v>3</v>
      </c>
      <c r="E187">
        <v>15250</v>
      </c>
      <c r="F187" t="s">
        <v>20</v>
      </c>
      <c r="G187" t="s">
        <v>29</v>
      </c>
      <c r="H187" s="1">
        <v>45902</v>
      </c>
      <c r="I187" s="1"/>
    </row>
    <row r="188" spans="1:9" x14ac:dyDescent="0.25">
      <c r="A188" t="s">
        <v>233</v>
      </c>
      <c r="B188" t="s">
        <v>47</v>
      </c>
      <c r="C188" t="s">
        <v>15</v>
      </c>
      <c r="D188">
        <f>_xlfn.XLOOKUP(C188, stage_mapping!$A$1:$A$8, stage_mapping!$B$1:$B$8)</f>
        <v>2</v>
      </c>
      <c r="E188">
        <v>7063</v>
      </c>
      <c r="F188" t="s">
        <v>32</v>
      </c>
      <c r="G188" t="s">
        <v>17</v>
      </c>
      <c r="H188" s="1">
        <v>45808</v>
      </c>
      <c r="I188" s="1"/>
    </row>
    <row r="189" spans="1:9" x14ac:dyDescent="0.25">
      <c r="A189" t="s">
        <v>234</v>
      </c>
      <c r="B189" t="s">
        <v>47</v>
      </c>
      <c r="C189" t="s">
        <v>35</v>
      </c>
      <c r="D189">
        <f>_xlfn.XLOOKUP(C189, stage_mapping!$A$1:$A$8, stage_mapping!$B$1:$B$8)</f>
        <v>4</v>
      </c>
      <c r="E189">
        <v>17095</v>
      </c>
      <c r="F189" t="s">
        <v>16</v>
      </c>
      <c r="G189" t="s">
        <v>17</v>
      </c>
      <c r="H189" s="1">
        <v>45777</v>
      </c>
      <c r="I189" s="1"/>
    </row>
    <row r="190" spans="1:9" x14ac:dyDescent="0.25">
      <c r="A190" t="s">
        <v>235</v>
      </c>
      <c r="B190" t="s">
        <v>81</v>
      </c>
      <c r="C190" t="s">
        <v>53</v>
      </c>
      <c r="D190">
        <f>_xlfn.XLOOKUP(C190, stage_mapping!$A$1:$A$8, stage_mapping!$B$1:$B$8)</f>
        <v>7</v>
      </c>
      <c r="E190">
        <v>12691</v>
      </c>
      <c r="F190" t="s">
        <v>20</v>
      </c>
      <c r="G190" t="s">
        <v>17</v>
      </c>
      <c r="H190" s="1">
        <v>45915</v>
      </c>
      <c r="I190" s="1">
        <v>45956</v>
      </c>
    </row>
    <row r="191" spans="1:9" x14ac:dyDescent="0.25">
      <c r="A191" t="s">
        <v>236</v>
      </c>
      <c r="B191" t="s">
        <v>47</v>
      </c>
      <c r="C191" t="s">
        <v>24</v>
      </c>
      <c r="D191">
        <f>_xlfn.XLOOKUP(C191, stage_mapping!$A$1:$A$8, stage_mapping!$B$1:$B$8)</f>
        <v>8</v>
      </c>
      <c r="E191">
        <v>51893</v>
      </c>
      <c r="F191" t="s">
        <v>32</v>
      </c>
      <c r="G191" t="s">
        <v>17</v>
      </c>
      <c r="H191" s="1">
        <v>45444</v>
      </c>
      <c r="I191" s="1">
        <v>45512</v>
      </c>
    </row>
    <row r="192" spans="1:9" x14ac:dyDescent="0.25">
      <c r="A192" t="s">
        <v>237</v>
      </c>
      <c r="B192" t="s">
        <v>65</v>
      </c>
      <c r="C192" t="s">
        <v>10</v>
      </c>
      <c r="D192">
        <f>_xlfn.XLOOKUP(C192, stage_mapping!$A$1:$A$8, stage_mapping!$B$1:$B$8)</f>
        <v>1</v>
      </c>
      <c r="E192">
        <v>14756</v>
      </c>
      <c r="F192" t="s">
        <v>535</v>
      </c>
      <c r="G192" t="s">
        <v>25</v>
      </c>
      <c r="H192" s="1">
        <v>45338</v>
      </c>
      <c r="I192" s="1"/>
    </row>
    <row r="193" spans="1:9" x14ac:dyDescent="0.25">
      <c r="A193" t="s">
        <v>238</v>
      </c>
      <c r="B193" t="s">
        <v>19</v>
      </c>
      <c r="C193" t="s">
        <v>71</v>
      </c>
      <c r="D193">
        <f>_xlfn.XLOOKUP(C193, stage_mapping!$A$1:$A$8, stage_mapping!$B$1:$B$8)</f>
        <v>5</v>
      </c>
      <c r="E193">
        <v>38592</v>
      </c>
      <c r="F193" t="s">
        <v>28</v>
      </c>
      <c r="G193" t="s">
        <v>29</v>
      </c>
      <c r="H193" s="1">
        <v>45407</v>
      </c>
      <c r="I193" s="1"/>
    </row>
    <row r="194" spans="1:9" x14ac:dyDescent="0.25">
      <c r="A194" t="s">
        <v>239</v>
      </c>
      <c r="B194" t="s">
        <v>68</v>
      </c>
      <c r="C194" t="s">
        <v>10</v>
      </c>
      <c r="D194">
        <f>_xlfn.XLOOKUP(C194, stage_mapping!$A$1:$A$8, stage_mapping!$B$1:$B$8)</f>
        <v>1</v>
      </c>
      <c r="E194">
        <v>38595</v>
      </c>
      <c r="F194" t="s">
        <v>16</v>
      </c>
      <c r="G194" t="s">
        <v>25</v>
      </c>
      <c r="H194" s="1">
        <v>45304</v>
      </c>
      <c r="I194" s="1"/>
    </row>
    <row r="195" spans="1:9" x14ac:dyDescent="0.25">
      <c r="A195" t="s">
        <v>240</v>
      </c>
      <c r="B195" t="s">
        <v>23</v>
      </c>
      <c r="C195" t="s">
        <v>49</v>
      </c>
      <c r="D195">
        <f>_xlfn.XLOOKUP(C195, stage_mapping!$A$1:$A$8, stage_mapping!$B$1:$B$8)</f>
        <v>6</v>
      </c>
      <c r="E195">
        <v>31675</v>
      </c>
      <c r="F195" t="s">
        <v>16</v>
      </c>
      <c r="G195" t="s">
        <v>12</v>
      </c>
      <c r="H195" s="1">
        <v>45444</v>
      </c>
      <c r="I195" s="1"/>
    </row>
    <row r="196" spans="1:9" x14ac:dyDescent="0.25">
      <c r="A196" t="s">
        <v>241</v>
      </c>
      <c r="B196" t="s">
        <v>105</v>
      </c>
      <c r="C196" t="s">
        <v>15</v>
      </c>
      <c r="D196">
        <f>_xlfn.XLOOKUP(C196, stage_mapping!$A$1:$A$8, stage_mapping!$B$1:$B$8)</f>
        <v>2</v>
      </c>
      <c r="E196">
        <v>14616</v>
      </c>
      <c r="F196" t="s">
        <v>11</v>
      </c>
      <c r="G196" t="s">
        <v>29</v>
      </c>
      <c r="H196" s="1">
        <v>45704</v>
      </c>
      <c r="I196" s="1"/>
    </row>
    <row r="197" spans="1:9" x14ac:dyDescent="0.25">
      <c r="A197" t="s">
        <v>242</v>
      </c>
      <c r="B197" t="s">
        <v>37</v>
      </c>
      <c r="C197" t="s">
        <v>49</v>
      </c>
      <c r="D197">
        <f>_xlfn.XLOOKUP(C197, stage_mapping!$A$1:$A$8, stage_mapping!$B$1:$B$8)</f>
        <v>6</v>
      </c>
      <c r="E197">
        <v>12863</v>
      </c>
      <c r="F197" t="s">
        <v>43</v>
      </c>
      <c r="G197" t="s">
        <v>12</v>
      </c>
      <c r="H197" s="1">
        <v>45641</v>
      </c>
      <c r="I197" s="1"/>
    </row>
    <row r="198" spans="1:9" x14ac:dyDescent="0.25">
      <c r="A198" t="s">
        <v>243</v>
      </c>
      <c r="B198" t="s">
        <v>31</v>
      </c>
      <c r="C198" t="s">
        <v>24</v>
      </c>
      <c r="D198">
        <f>_xlfn.XLOOKUP(C198, stage_mapping!$A$1:$A$8, stage_mapping!$B$1:$B$8)</f>
        <v>8</v>
      </c>
      <c r="E198">
        <v>13295</v>
      </c>
      <c r="F198" t="s">
        <v>28</v>
      </c>
      <c r="G198" t="s">
        <v>21</v>
      </c>
      <c r="H198" s="1">
        <v>45826</v>
      </c>
      <c r="I198" s="1">
        <v>45920</v>
      </c>
    </row>
    <row r="199" spans="1:9" x14ac:dyDescent="0.25">
      <c r="A199" t="s">
        <v>244</v>
      </c>
      <c r="B199" t="s">
        <v>42</v>
      </c>
      <c r="C199" t="s">
        <v>10</v>
      </c>
      <c r="D199">
        <f>_xlfn.XLOOKUP(C199, stage_mapping!$A$1:$A$8, stage_mapping!$B$1:$B$8)</f>
        <v>1</v>
      </c>
      <c r="E199">
        <v>25870</v>
      </c>
      <c r="F199" t="s">
        <v>535</v>
      </c>
      <c r="G199" t="s">
        <v>17</v>
      </c>
      <c r="H199" s="1">
        <v>45980</v>
      </c>
      <c r="I199" s="1"/>
    </row>
    <row r="200" spans="1:9" x14ac:dyDescent="0.25">
      <c r="A200" t="s">
        <v>245</v>
      </c>
      <c r="B200" t="s">
        <v>81</v>
      </c>
      <c r="C200" t="s">
        <v>53</v>
      </c>
      <c r="D200">
        <f>_xlfn.XLOOKUP(C200, stage_mapping!$A$1:$A$8, stage_mapping!$B$1:$B$8)</f>
        <v>7</v>
      </c>
      <c r="E200">
        <v>24733</v>
      </c>
      <c r="F200" t="s">
        <v>43</v>
      </c>
      <c r="G200" t="s">
        <v>29</v>
      </c>
      <c r="H200" s="1">
        <v>45688</v>
      </c>
      <c r="I200" s="1">
        <v>45728</v>
      </c>
    </row>
    <row r="201" spans="1:9" x14ac:dyDescent="0.25">
      <c r="A201" t="s">
        <v>246</v>
      </c>
      <c r="B201" t="s">
        <v>34</v>
      </c>
      <c r="C201" t="s">
        <v>71</v>
      </c>
      <c r="D201">
        <f>_xlfn.XLOOKUP(C201, stage_mapping!$A$1:$A$8, stage_mapping!$B$1:$B$8)</f>
        <v>5</v>
      </c>
      <c r="E201">
        <v>13707</v>
      </c>
      <c r="F201" t="s">
        <v>11</v>
      </c>
      <c r="G201" t="s">
        <v>17</v>
      </c>
      <c r="H201" s="1">
        <v>45816</v>
      </c>
      <c r="I201" s="1"/>
    </row>
    <row r="202" spans="1:9" x14ac:dyDescent="0.25">
      <c r="A202" t="s">
        <v>247</v>
      </c>
      <c r="B202" t="s">
        <v>27</v>
      </c>
      <c r="C202" t="s">
        <v>53</v>
      </c>
      <c r="D202">
        <f>_xlfn.XLOOKUP(C202, stage_mapping!$A$1:$A$8, stage_mapping!$B$1:$B$8)</f>
        <v>7</v>
      </c>
      <c r="E202">
        <v>10138</v>
      </c>
      <c r="F202" t="s">
        <v>43</v>
      </c>
      <c r="G202" t="s">
        <v>29</v>
      </c>
      <c r="H202" s="1">
        <v>45867</v>
      </c>
      <c r="I202" s="1">
        <v>45912</v>
      </c>
    </row>
    <row r="203" spans="1:9" x14ac:dyDescent="0.25">
      <c r="A203" t="s">
        <v>248</v>
      </c>
      <c r="B203" t="s">
        <v>63</v>
      </c>
      <c r="C203" t="s">
        <v>53</v>
      </c>
      <c r="D203">
        <f>_xlfn.XLOOKUP(C203, stage_mapping!$A$1:$A$8, stage_mapping!$B$1:$B$8)</f>
        <v>7</v>
      </c>
      <c r="E203">
        <v>15493</v>
      </c>
      <c r="F203" t="s">
        <v>11</v>
      </c>
      <c r="G203" t="s">
        <v>17</v>
      </c>
      <c r="H203" s="1">
        <v>45585</v>
      </c>
      <c r="I203" s="1">
        <v>45620</v>
      </c>
    </row>
    <row r="204" spans="1:9" x14ac:dyDescent="0.25">
      <c r="A204" t="s">
        <v>249</v>
      </c>
      <c r="B204" t="s">
        <v>14</v>
      </c>
      <c r="C204" t="s">
        <v>53</v>
      </c>
      <c r="D204">
        <f>_xlfn.XLOOKUP(C204, stage_mapping!$A$1:$A$8, stage_mapping!$B$1:$B$8)</f>
        <v>7</v>
      </c>
      <c r="E204">
        <v>63241</v>
      </c>
      <c r="F204" t="s">
        <v>43</v>
      </c>
      <c r="G204" t="s">
        <v>21</v>
      </c>
      <c r="H204" s="1">
        <v>46001</v>
      </c>
      <c r="I204" s="1">
        <v>46055</v>
      </c>
    </row>
    <row r="205" spans="1:9" x14ac:dyDescent="0.25">
      <c r="A205" t="s">
        <v>250</v>
      </c>
      <c r="B205" t="s">
        <v>65</v>
      </c>
      <c r="C205" t="s">
        <v>15</v>
      </c>
      <c r="D205">
        <f>_xlfn.XLOOKUP(C205, stage_mapping!$A$1:$A$8, stage_mapping!$B$1:$B$8)</f>
        <v>2</v>
      </c>
      <c r="E205">
        <v>18230</v>
      </c>
      <c r="F205" t="s">
        <v>32</v>
      </c>
      <c r="G205" t="s">
        <v>29</v>
      </c>
      <c r="H205" s="1">
        <v>45991</v>
      </c>
      <c r="I205" s="1">
        <v>46031</v>
      </c>
    </row>
    <row r="206" spans="1:9" x14ac:dyDescent="0.25">
      <c r="A206" t="s">
        <v>251</v>
      </c>
      <c r="B206" t="s">
        <v>63</v>
      </c>
      <c r="C206" t="s">
        <v>49</v>
      </c>
      <c r="D206">
        <f>_xlfn.XLOOKUP(C206, stage_mapping!$A$1:$A$8, stage_mapping!$B$1:$B$8)</f>
        <v>6</v>
      </c>
      <c r="E206">
        <v>11429</v>
      </c>
      <c r="F206" t="s">
        <v>43</v>
      </c>
      <c r="G206" t="s">
        <v>17</v>
      </c>
      <c r="H206" s="1">
        <v>45878</v>
      </c>
      <c r="I206" s="1"/>
    </row>
    <row r="207" spans="1:9" x14ac:dyDescent="0.25">
      <c r="A207" t="s">
        <v>252</v>
      </c>
      <c r="B207" t="s">
        <v>65</v>
      </c>
      <c r="C207" t="s">
        <v>35</v>
      </c>
      <c r="D207">
        <f>_xlfn.XLOOKUP(C207, stage_mapping!$A$1:$A$8, stage_mapping!$B$1:$B$8)</f>
        <v>4</v>
      </c>
      <c r="E207">
        <v>5727</v>
      </c>
      <c r="F207" t="s">
        <v>535</v>
      </c>
      <c r="G207" t="s">
        <v>12</v>
      </c>
      <c r="H207" s="1">
        <v>45925</v>
      </c>
      <c r="I207" s="1"/>
    </row>
    <row r="208" spans="1:9" x14ac:dyDescent="0.25">
      <c r="A208" t="s">
        <v>253</v>
      </c>
      <c r="B208" t="s">
        <v>14</v>
      </c>
      <c r="C208" t="s">
        <v>53</v>
      </c>
      <c r="D208">
        <f>_xlfn.XLOOKUP(C208, stage_mapping!$A$1:$A$8, stage_mapping!$B$1:$B$8)</f>
        <v>7</v>
      </c>
      <c r="E208">
        <v>31772</v>
      </c>
      <c r="F208" t="s">
        <v>32</v>
      </c>
      <c r="G208" t="s">
        <v>17</v>
      </c>
      <c r="H208" s="1">
        <v>45812</v>
      </c>
      <c r="I208" s="1">
        <v>45868</v>
      </c>
    </row>
    <row r="209" spans="1:9" x14ac:dyDescent="0.25">
      <c r="A209" t="s">
        <v>254</v>
      </c>
      <c r="B209" t="s">
        <v>47</v>
      </c>
      <c r="C209" t="s">
        <v>53</v>
      </c>
      <c r="D209">
        <f>_xlfn.XLOOKUP(C209, stage_mapping!$A$1:$A$8, stage_mapping!$B$1:$B$8)</f>
        <v>7</v>
      </c>
      <c r="E209">
        <v>18835</v>
      </c>
      <c r="F209" t="s">
        <v>535</v>
      </c>
      <c r="G209" t="s">
        <v>17</v>
      </c>
      <c r="H209" s="1">
        <v>45726</v>
      </c>
      <c r="I209" s="1">
        <v>45808</v>
      </c>
    </row>
    <row r="210" spans="1:9" x14ac:dyDescent="0.25">
      <c r="A210" t="s">
        <v>255</v>
      </c>
      <c r="B210" t="s">
        <v>37</v>
      </c>
      <c r="C210" t="s">
        <v>49</v>
      </c>
      <c r="D210">
        <f>_xlfn.XLOOKUP(C210, stage_mapping!$A$1:$A$8, stage_mapping!$B$1:$B$8)</f>
        <v>6</v>
      </c>
      <c r="E210">
        <v>12500</v>
      </c>
      <c r="F210" t="s">
        <v>43</v>
      </c>
      <c r="G210" t="s">
        <v>29</v>
      </c>
      <c r="H210" s="1">
        <v>45556</v>
      </c>
      <c r="I210" s="1"/>
    </row>
    <row r="211" spans="1:9" x14ac:dyDescent="0.25">
      <c r="A211" t="s">
        <v>256</v>
      </c>
      <c r="B211" t="s">
        <v>65</v>
      </c>
      <c r="C211" t="s">
        <v>35</v>
      </c>
      <c r="D211">
        <f>_xlfn.XLOOKUP(C211, stage_mapping!$A$1:$A$8, stage_mapping!$B$1:$B$8)</f>
        <v>4</v>
      </c>
      <c r="E211">
        <v>7073</v>
      </c>
      <c r="F211" t="s">
        <v>28</v>
      </c>
      <c r="G211" t="s">
        <v>17</v>
      </c>
      <c r="H211" s="1">
        <v>45740</v>
      </c>
      <c r="I211" s="1">
        <v>45765</v>
      </c>
    </row>
    <row r="212" spans="1:9" x14ac:dyDescent="0.25">
      <c r="A212" t="s">
        <v>257</v>
      </c>
      <c r="B212" t="s">
        <v>65</v>
      </c>
      <c r="C212" t="s">
        <v>15</v>
      </c>
      <c r="D212">
        <f>_xlfn.XLOOKUP(C212, stage_mapping!$A$1:$A$8, stage_mapping!$B$1:$B$8)</f>
        <v>2</v>
      </c>
      <c r="E212">
        <v>20239</v>
      </c>
      <c r="F212" t="s">
        <v>28</v>
      </c>
      <c r="G212" t="s">
        <v>17</v>
      </c>
      <c r="H212" s="1">
        <v>45878</v>
      </c>
      <c r="I212" s="1"/>
    </row>
    <row r="213" spans="1:9" x14ac:dyDescent="0.25">
      <c r="A213" t="s">
        <v>258</v>
      </c>
      <c r="B213" t="s">
        <v>27</v>
      </c>
      <c r="C213" t="s">
        <v>15</v>
      </c>
      <c r="D213">
        <f>_xlfn.XLOOKUP(C213, stage_mapping!$A$1:$A$8, stage_mapping!$B$1:$B$8)</f>
        <v>2</v>
      </c>
      <c r="E213">
        <v>14204</v>
      </c>
      <c r="F213" t="s">
        <v>28</v>
      </c>
      <c r="G213" t="s">
        <v>29</v>
      </c>
      <c r="H213" s="1">
        <v>45872</v>
      </c>
      <c r="I213" s="1"/>
    </row>
    <row r="214" spans="1:9" x14ac:dyDescent="0.25">
      <c r="A214" t="s">
        <v>259</v>
      </c>
      <c r="B214" t="s">
        <v>9</v>
      </c>
      <c r="C214" t="s">
        <v>35</v>
      </c>
      <c r="D214">
        <f>_xlfn.XLOOKUP(C214, stage_mapping!$A$1:$A$8, stage_mapping!$B$1:$B$8)</f>
        <v>4</v>
      </c>
      <c r="E214">
        <v>49009</v>
      </c>
      <c r="F214" t="s">
        <v>20</v>
      </c>
      <c r="G214" t="s">
        <v>12</v>
      </c>
      <c r="H214" s="1">
        <v>45605</v>
      </c>
      <c r="I214" s="1"/>
    </row>
    <row r="215" spans="1:9" x14ac:dyDescent="0.25">
      <c r="A215" t="s">
        <v>260</v>
      </c>
      <c r="B215" t="s">
        <v>79</v>
      </c>
      <c r="C215" t="s">
        <v>24</v>
      </c>
      <c r="D215">
        <f>_xlfn.XLOOKUP(C215, stage_mapping!$A$1:$A$8, stage_mapping!$B$1:$B$8)</f>
        <v>8</v>
      </c>
      <c r="E215">
        <v>55476</v>
      </c>
      <c r="F215" t="s">
        <v>535</v>
      </c>
      <c r="G215" t="s">
        <v>29</v>
      </c>
      <c r="H215" s="1">
        <v>45659</v>
      </c>
      <c r="I215" s="1">
        <v>45684</v>
      </c>
    </row>
    <row r="216" spans="1:9" x14ac:dyDescent="0.25">
      <c r="A216" t="s">
        <v>261</v>
      </c>
      <c r="B216" t="s">
        <v>37</v>
      </c>
      <c r="C216" t="s">
        <v>71</v>
      </c>
      <c r="D216">
        <f>_xlfn.XLOOKUP(C216, stage_mapping!$A$1:$A$8, stage_mapping!$B$1:$B$8)</f>
        <v>5</v>
      </c>
      <c r="E216">
        <v>17041</v>
      </c>
      <c r="F216" t="s">
        <v>28</v>
      </c>
      <c r="G216" t="s">
        <v>29</v>
      </c>
      <c r="H216" s="1">
        <v>45884</v>
      </c>
      <c r="I216" s="1"/>
    </row>
    <row r="217" spans="1:9" x14ac:dyDescent="0.25">
      <c r="A217" t="s">
        <v>262</v>
      </c>
      <c r="B217" t="s">
        <v>63</v>
      </c>
      <c r="C217" t="s">
        <v>35</v>
      </c>
      <c r="D217">
        <f>_xlfn.XLOOKUP(C217, stage_mapping!$A$1:$A$8, stage_mapping!$B$1:$B$8)</f>
        <v>4</v>
      </c>
      <c r="E217">
        <v>14.1</v>
      </c>
      <c r="F217" t="s">
        <v>11</v>
      </c>
      <c r="G217" t="s">
        <v>17</v>
      </c>
      <c r="H217" s="1">
        <v>45536</v>
      </c>
      <c r="I217" s="1"/>
    </row>
    <row r="218" spans="1:9" x14ac:dyDescent="0.25">
      <c r="A218" t="s">
        <v>263</v>
      </c>
      <c r="B218" t="s">
        <v>39</v>
      </c>
      <c r="C218" t="s">
        <v>15</v>
      </c>
      <c r="D218">
        <f>_xlfn.XLOOKUP(C218, stage_mapping!$A$1:$A$8, stage_mapping!$B$1:$B$8)</f>
        <v>2</v>
      </c>
      <c r="E218">
        <v>10583</v>
      </c>
      <c r="F218" t="s">
        <v>20</v>
      </c>
      <c r="G218" t="s">
        <v>25</v>
      </c>
      <c r="H218" s="1">
        <v>45976</v>
      </c>
      <c r="I218" s="1"/>
    </row>
    <row r="219" spans="1:9" x14ac:dyDescent="0.25">
      <c r="A219" t="s">
        <v>264</v>
      </c>
      <c r="B219" t="s">
        <v>45</v>
      </c>
      <c r="C219" t="s">
        <v>35</v>
      </c>
      <c r="D219">
        <f>_xlfn.XLOOKUP(C219, stage_mapping!$A$1:$A$8, stage_mapping!$B$1:$B$8)</f>
        <v>4</v>
      </c>
      <c r="E219">
        <v>13011</v>
      </c>
      <c r="F219" t="s">
        <v>16</v>
      </c>
      <c r="G219" t="s">
        <v>21</v>
      </c>
      <c r="H219" s="1">
        <v>45371</v>
      </c>
      <c r="I219" s="1"/>
    </row>
    <row r="220" spans="1:9" x14ac:dyDescent="0.25">
      <c r="A220" t="s">
        <v>265</v>
      </c>
      <c r="B220" t="s">
        <v>70</v>
      </c>
      <c r="C220" t="s">
        <v>15</v>
      </c>
      <c r="D220">
        <f>_xlfn.XLOOKUP(C220, stage_mapping!$A$1:$A$8, stage_mapping!$B$1:$B$8)</f>
        <v>2</v>
      </c>
      <c r="E220">
        <v>5965</v>
      </c>
      <c r="F220" t="s">
        <v>43</v>
      </c>
      <c r="G220" t="s">
        <v>21</v>
      </c>
      <c r="H220" s="1">
        <v>45453</v>
      </c>
      <c r="I220" s="1"/>
    </row>
    <row r="221" spans="1:9" x14ac:dyDescent="0.25">
      <c r="A221" t="s">
        <v>266</v>
      </c>
      <c r="B221" t="s">
        <v>47</v>
      </c>
      <c r="C221" t="s">
        <v>15</v>
      </c>
      <c r="D221">
        <f>_xlfn.XLOOKUP(C221, stage_mapping!$A$1:$A$8, stage_mapping!$B$1:$B$8)</f>
        <v>2</v>
      </c>
      <c r="E221">
        <v>18565</v>
      </c>
      <c r="F221" t="s">
        <v>43</v>
      </c>
      <c r="G221" t="s">
        <v>17</v>
      </c>
      <c r="H221" s="1">
        <v>45332</v>
      </c>
      <c r="I221" s="1"/>
    </row>
    <row r="222" spans="1:9" x14ac:dyDescent="0.25">
      <c r="A222" t="s">
        <v>267</v>
      </c>
      <c r="B222" t="s">
        <v>37</v>
      </c>
      <c r="C222" t="s">
        <v>24</v>
      </c>
      <c r="D222">
        <f>_xlfn.XLOOKUP(C222, stage_mapping!$A$1:$A$8, stage_mapping!$B$1:$B$8)</f>
        <v>8</v>
      </c>
      <c r="E222">
        <v>34082</v>
      </c>
      <c r="F222" t="s">
        <v>32</v>
      </c>
      <c r="G222" t="s">
        <v>29</v>
      </c>
      <c r="H222" s="1">
        <v>45712</v>
      </c>
      <c r="I222" s="1">
        <v>45789</v>
      </c>
    </row>
    <row r="223" spans="1:9" x14ac:dyDescent="0.25">
      <c r="A223" t="s">
        <v>268</v>
      </c>
      <c r="B223" t="s">
        <v>19</v>
      </c>
      <c r="C223" t="s">
        <v>24</v>
      </c>
      <c r="D223">
        <f>_xlfn.XLOOKUP(C223, stage_mapping!$A$1:$A$8, stage_mapping!$B$1:$B$8)</f>
        <v>8</v>
      </c>
      <c r="E223">
        <v>100672</v>
      </c>
      <c r="F223" t="s">
        <v>20</v>
      </c>
      <c r="G223" t="s">
        <v>29</v>
      </c>
      <c r="H223" s="1">
        <v>45721</v>
      </c>
      <c r="I223" s="1">
        <v>45777</v>
      </c>
    </row>
    <row r="224" spans="1:9" x14ac:dyDescent="0.25">
      <c r="A224" t="s">
        <v>269</v>
      </c>
      <c r="B224" t="s">
        <v>63</v>
      </c>
      <c r="C224" t="s">
        <v>35</v>
      </c>
      <c r="D224">
        <f>_xlfn.XLOOKUP(C224, stage_mapping!$A$1:$A$8, stage_mapping!$B$1:$B$8)</f>
        <v>4</v>
      </c>
      <c r="E224">
        <v>17184</v>
      </c>
      <c r="F224" t="s">
        <v>535</v>
      </c>
      <c r="G224" t="s">
        <v>17</v>
      </c>
      <c r="H224" s="1">
        <v>45336</v>
      </c>
      <c r="I224" s="1"/>
    </row>
    <row r="225" spans="1:9" x14ac:dyDescent="0.25">
      <c r="A225" t="s">
        <v>270</v>
      </c>
      <c r="B225" t="s">
        <v>23</v>
      </c>
      <c r="C225" t="s">
        <v>24</v>
      </c>
      <c r="D225">
        <f>_xlfn.XLOOKUP(C225, stage_mapping!$A$1:$A$8, stage_mapping!$B$1:$B$8)</f>
        <v>8</v>
      </c>
      <c r="E225">
        <v>24372</v>
      </c>
      <c r="F225" t="s">
        <v>535</v>
      </c>
      <c r="G225" t="s">
        <v>25</v>
      </c>
      <c r="H225" s="1">
        <v>45904</v>
      </c>
      <c r="I225" s="1">
        <v>45989</v>
      </c>
    </row>
    <row r="226" spans="1:9" x14ac:dyDescent="0.25">
      <c r="A226" t="s">
        <v>271</v>
      </c>
      <c r="B226" t="s">
        <v>65</v>
      </c>
      <c r="C226" t="s">
        <v>97</v>
      </c>
      <c r="D226">
        <f>_xlfn.XLOOKUP(C226, stage_mapping!$A$1:$A$8, stage_mapping!$B$1:$B$8)</f>
        <v>3</v>
      </c>
      <c r="E226">
        <v>13852</v>
      </c>
      <c r="F226" t="s">
        <v>535</v>
      </c>
      <c r="G226" t="s">
        <v>25</v>
      </c>
      <c r="H226" s="1">
        <v>45725</v>
      </c>
      <c r="I226" s="1"/>
    </row>
    <row r="227" spans="1:9" x14ac:dyDescent="0.25">
      <c r="A227" t="s">
        <v>272</v>
      </c>
      <c r="B227" t="s">
        <v>34</v>
      </c>
      <c r="C227" t="s">
        <v>97</v>
      </c>
      <c r="D227">
        <f>_xlfn.XLOOKUP(C227, stage_mapping!$A$1:$A$8, stage_mapping!$B$1:$B$8)</f>
        <v>3</v>
      </c>
      <c r="E227">
        <v>55474</v>
      </c>
      <c r="F227" t="s">
        <v>16</v>
      </c>
      <c r="G227" t="s">
        <v>17</v>
      </c>
      <c r="H227" s="1">
        <v>45413</v>
      </c>
      <c r="I227" s="1"/>
    </row>
    <row r="228" spans="1:9" x14ac:dyDescent="0.25">
      <c r="A228" t="s">
        <v>273</v>
      </c>
      <c r="B228" t="s">
        <v>27</v>
      </c>
      <c r="C228" t="s">
        <v>10</v>
      </c>
      <c r="D228">
        <f>_xlfn.XLOOKUP(C228, stage_mapping!$A$1:$A$8, stage_mapping!$B$1:$B$8)</f>
        <v>1</v>
      </c>
      <c r="E228">
        <v>11018</v>
      </c>
      <c r="F228" t="s">
        <v>11</v>
      </c>
      <c r="G228" t="s">
        <v>29</v>
      </c>
      <c r="H228" s="1">
        <v>45906</v>
      </c>
      <c r="I228" s="1"/>
    </row>
    <row r="229" spans="1:9" x14ac:dyDescent="0.25">
      <c r="A229" t="s">
        <v>274</v>
      </c>
      <c r="B229" t="s">
        <v>27</v>
      </c>
      <c r="C229" t="s">
        <v>24</v>
      </c>
      <c r="D229">
        <f>_xlfn.XLOOKUP(C229, stage_mapping!$A$1:$A$8, stage_mapping!$B$1:$B$8)</f>
        <v>8</v>
      </c>
      <c r="E229">
        <v>15321</v>
      </c>
      <c r="F229" t="s">
        <v>11</v>
      </c>
      <c r="G229" t="s">
        <v>29</v>
      </c>
      <c r="H229" s="1">
        <v>45822</v>
      </c>
      <c r="I229" s="1">
        <v>45929</v>
      </c>
    </row>
    <row r="230" spans="1:9" x14ac:dyDescent="0.25">
      <c r="A230" t="s">
        <v>275</v>
      </c>
      <c r="B230" t="s">
        <v>65</v>
      </c>
      <c r="C230" t="s">
        <v>35</v>
      </c>
      <c r="D230">
        <f>_xlfn.XLOOKUP(C230, stage_mapping!$A$1:$A$8, stage_mapping!$B$1:$B$8)</f>
        <v>4</v>
      </c>
      <c r="E230">
        <v>32746</v>
      </c>
      <c r="F230" t="s">
        <v>43</v>
      </c>
      <c r="G230" t="s">
        <v>25</v>
      </c>
      <c r="H230" s="1">
        <v>45362</v>
      </c>
      <c r="I230" s="1"/>
    </row>
    <row r="231" spans="1:9" x14ac:dyDescent="0.25">
      <c r="A231" t="s">
        <v>276</v>
      </c>
      <c r="B231" t="s">
        <v>45</v>
      </c>
      <c r="C231" t="s">
        <v>10</v>
      </c>
      <c r="D231">
        <f>_xlfn.XLOOKUP(C231, stage_mapping!$A$1:$A$8, stage_mapping!$B$1:$B$8)</f>
        <v>1</v>
      </c>
      <c r="E231">
        <v>10136</v>
      </c>
      <c r="F231" t="s">
        <v>16</v>
      </c>
      <c r="G231" t="s">
        <v>21</v>
      </c>
      <c r="H231" s="1">
        <v>45593</v>
      </c>
      <c r="I231" s="1"/>
    </row>
    <row r="232" spans="1:9" x14ac:dyDescent="0.25">
      <c r="A232" t="s">
        <v>277</v>
      </c>
      <c r="B232" t="s">
        <v>105</v>
      </c>
      <c r="C232" t="s">
        <v>49</v>
      </c>
      <c r="D232">
        <f>_xlfn.XLOOKUP(C232, stage_mapping!$A$1:$A$8, stage_mapping!$B$1:$B$8)</f>
        <v>6</v>
      </c>
      <c r="E232">
        <v>11238</v>
      </c>
      <c r="F232" t="s">
        <v>16</v>
      </c>
      <c r="G232" t="s">
        <v>21</v>
      </c>
      <c r="H232" s="1">
        <v>45411</v>
      </c>
      <c r="I232" s="1"/>
    </row>
    <row r="233" spans="1:9" x14ac:dyDescent="0.25">
      <c r="A233" t="s">
        <v>278</v>
      </c>
      <c r="B233" t="s">
        <v>31</v>
      </c>
      <c r="C233" t="s">
        <v>53</v>
      </c>
      <c r="D233">
        <f>_xlfn.XLOOKUP(C233, stage_mapping!$A$1:$A$8, stage_mapping!$B$1:$B$8)</f>
        <v>7</v>
      </c>
      <c r="E233">
        <v>10857</v>
      </c>
      <c r="F233" t="s">
        <v>535</v>
      </c>
      <c r="G233" t="s">
        <v>21</v>
      </c>
      <c r="H233" s="1">
        <v>45474</v>
      </c>
      <c r="I233" s="1">
        <v>45547</v>
      </c>
    </row>
    <row r="234" spans="1:9" x14ac:dyDescent="0.25">
      <c r="A234" t="s">
        <v>279</v>
      </c>
      <c r="B234" t="s">
        <v>42</v>
      </c>
      <c r="C234" t="s">
        <v>35</v>
      </c>
      <c r="D234">
        <f>_xlfn.XLOOKUP(C234, stage_mapping!$A$1:$A$8, stage_mapping!$B$1:$B$8)</f>
        <v>4</v>
      </c>
      <c r="E234">
        <v>37401</v>
      </c>
      <c r="F234" t="s">
        <v>28</v>
      </c>
      <c r="G234" t="s">
        <v>17</v>
      </c>
      <c r="H234" s="1">
        <v>45414</v>
      </c>
      <c r="I234" s="1"/>
    </row>
    <row r="235" spans="1:9" x14ac:dyDescent="0.25">
      <c r="A235" t="s">
        <v>280</v>
      </c>
      <c r="B235" t="s">
        <v>68</v>
      </c>
      <c r="C235" t="s">
        <v>15</v>
      </c>
      <c r="D235">
        <f>_xlfn.XLOOKUP(C235, stage_mapping!$A$1:$A$8, stage_mapping!$B$1:$B$8)</f>
        <v>2</v>
      </c>
      <c r="E235">
        <v>21839</v>
      </c>
      <c r="F235" t="s">
        <v>20</v>
      </c>
      <c r="G235" t="s">
        <v>12</v>
      </c>
      <c r="H235" s="1">
        <v>45347</v>
      </c>
      <c r="I235" s="1"/>
    </row>
    <row r="236" spans="1:9" x14ac:dyDescent="0.25">
      <c r="A236" t="s">
        <v>281</v>
      </c>
      <c r="B236" t="s">
        <v>47</v>
      </c>
      <c r="C236" t="s">
        <v>35</v>
      </c>
      <c r="D236">
        <f>_xlfn.XLOOKUP(C236, stage_mapping!$A$1:$A$8, stage_mapping!$B$1:$B$8)</f>
        <v>4</v>
      </c>
      <c r="E236">
        <v>6434</v>
      </c>
      <c r="F236" t="s">
        <v>43</v>
      </c>
      <c r="G236" t="s">
        <v>17</v>
      </c>
      <c r="H236" s="1">
        <v>45557</v>
      </c>
      <c r="I236" s="1"/>
    </row>
    <row r="237" spans="1:9" x14ac:dyDescent="0.25">
      <c r="A237" t="s">
        <v>282</v>
      </c>
      <c r="B237" t="s">
        <v>79</v>
      </c>
      <c r="C237" t="s">
        <v>49</v>
      </c>
      <c r="D237">
        <f>_xlfn.XLOOKUP(C237, stage_mapping!$A$1:$A$8, stage_mapping!$B$1:$B$8)</f>
        <v>6</v>
      </c>
      <c r="E237">
        <v>119150</v>
      </c>
      <c r="F237" t="s">
        <v>11</v>
      </c>
      <c r="G237" t="s">
        <v>12</v>
      </c>
      <c r="H237" s="1">
        <v>45394</v>
      </c>
      <c r="I237" s="1"/>
    </row>
    <row r="238" spans="1:9" x14ac:dyDescent="0.25">
      <c r="A238" t="s">
        <v>283</v>
      </c>
      <c r="B238" t="s">
        <v>81</v>
      </c>
      <c r="C238" t="s">
        <v>35</v>
      </c>
      <c r="D238">
        <f>_xlfn.XLOOKUP(C238, stage_mapping!$A$1:$A$8, stage_mapping!$B$1:$B$8)</f>
        <v>4</v>
      </c>
      <c r="E238">
        <v>13440</v>
      </c>
      <c r="F238" t="s">
        <v>28</v>
      </c>
      <c r="G238" t="s">
        <v>17</v>
      </c>
      <c r="H238" s="1">
        <v>45873</v>
      </c>
      <c r="I238" s="1"/>
    </row>
    <row r="239" spans="1:9" x14ac:dyDescent="0.25">
      <c r="A239" t="s">
        <v>284</v>
      </c>
      <c r="B239" t="s">
        <v>65</v>
      </c>
      <c r="C239" t="s">
        <v>53</v>
      </c>
      <c r="D239">
        <f>_xlfn.XLOOKUP(C239, stage_mapping!$A$1:$A$8, stage_mapping!$B$1:$B$8)</f>
        <v>7</v>
      </c>
      <c r="E239">
        <v>18788</v>
      </c>
      <c r="F239" t="s">
        <v>20</v>
      </c>
      <c r="G239" t="s">
        <v>12</v>
      </c>
      <c r="H239" s="1">
        <v>45882</v>
      </c>
      <c r="I239" s="1">
        <v>45927</v>
      </c>
    </row>
    <row r="240" spans="1:9" x14ac:dyDescent="0.25">
      <c r="A240" t="s">
        <v>285</v>
      </c>
      <c r="B240" t="s">
        <v>9</v>
      </c>
      <c r="C240" t="s">
        <v>24</v>
      </c>
      <c r="D240">
        <f>_xlfn.XLOOKUP(C240, stage_mapping!$A$1:$A$8, stage_mapping!$B$1:$B$8)</f>
        <v>8</v>
      </c>
      <c r="E240">
        <v>26703</v>
      </c>
      <c r="F240" t="s">
        <v>32</v>
      </c>
      <c r="G240" t="s">
        <v>12</v>
      </c>
      <c r="H240" s="1">
        <v>45637</v>
      </c>
      <c r="I240" s="1">
        <v>45662</v>
      </c>
    </row>
    <row r="241" spans="1:9" x14ac:dyDescent="0.25">
      <c r="A241" t="s">
        <v>286</v>
      </c>
      <c r="B241" t="s">
        <v>70</v>
      </c>
      <c r="C241" t="s">
        <v>24</v>
      </c>
      <c r="D241">
        <f>_xlfn.XLOOKUP(C241, stage_mapping!$A$1:$A$8, stage_mapping!$B$1:$B$8)</f>
        <v>8</v>
      </c>
      <c r="E241">
        <v>17415</v>
      </c>
      <c r="F241" t="s">
        <v>43</v>
      </c>
      <c r="G241" t="s">
        <v>12</v>
      </c>
      <c r="H241" s="1">
        <v>45480</v>
      </c>
      <c r="I241" s="1">
        <v>45581</v>
      </c>
    </row>
    <row r="242" spans="1:9" x14ac:dyDescent="0.25">
      <c r="A242" t="s">
        <v>287</v>
      </c>
      <c r="B242" t="s">
        <v>68</v>
      </c>
      <c r="C242" t="s">
        <v>35</v>
      </c>
      <c r="D242">
        <f>_xlfn.XLOOKUP(C242, stage_mapping!$A$1:$A$8, stage_mapping!$B$1:$B$8)</f>
        <v>4</v>
      </c>
      <c r="E242">
        <v>11557</v>
      </c>
      <c r="F242" t="s">
        <v>535</v>
      </c>
      <c r="G242" t="s">
        <v>12</v>
      </c>
      <c r="H242" s="1">
        <v>45398</v>
      </c>
      <c r="I242" s="1"/>
    </row>
    <row r="243" spans="1:9" x14ac:dyDescent="0.25">
      <c r="A243" t="s">
        <v>288</v>
      </c>
      <c r="B243" t="s">
        <v>65</v>
      </c>
      <c r="C243" t="s">
        <v>24</v>
      </c>
      <c r="D243">
        <f>_xlfn.XLOOKUP(C243, stage_mapping!$A$1:$A$8, stage_mapping!$B$1:$B$8)</f>
        <v>8</v>
      </c>
      <c r="E243">
        <v>2500</v>
      </c>
      <c r="F243" t="s">
        <v>16</v>
      </c>
      <c r="G243" t="s">
        <v>25</v>
      </c>
      <c r="H243" s="1">
        <v>45853</v>
      </c>
      <c r="I243" s="1">
        <v>45918</v>
      </c>
    </row>
    <row r="244" spans="1:9" x14ac:dyDescent="0.25">
      <c r="A244" t="s">
        <v>289</v>
      </c>
      <c r="B244" t="s">
        <v>68</v>
      </c>
      <c r="C244" t="s">
        <v>35</v>
      </c>
      <c r="D244">
        <f>_xlfn.XLOOKUP(C244, stage_mapping!$A$1:$A$8, stage_mapping!$B$1:$B$8)</f>
        <v>4</v>
      </c>
      <c r="E244">
        <v>25777</v>
      </c>
      <c r="F244" t="s">
        <v>16</v>
      </c>
      <c r="G244" t="s">
        <v>12</v>
      </c>
      <c r="H244" s="1">
        <v>45602</v>
      </c>
      <c r="I244" s="1"/>
    </row>
    <row r="245" spans="1:9" x14ac:dyDescent="0.25">
      <c r="A245" t="s">
        <v>290</v>
      </c>
      <c r="B245" t="s">
        <v>9</v>
      </c>
      <c r="C245" t="s">
        <v>97</v>
      </c>
      <c r="D245">
        <f>_xlfn.XLOOKUP(C245, stage_mapping!$A$1:$A$8, stage_mapping!$B$1:$B$8)</f>
        <v>3</v>
      </c>
      <c r="E245">
        <v>23679</v>
      </c>
      <c r="F245" t="s">
        <v>43</v>
      </c>
      <c r="G245" t="s">
        <v>12</v>
      </c>
      <c r="H245" s="1">
        <v>45739</v>
      </c>
      <c r="I245" s="1"/>
    </row>
    <row r="246" spans="1:9" x14ac:dyDescent="0.25">
      <c r="A246" t="s">
        <v>291</v>
      </c>
      <c r="B246" t="s">
        <v>34</v>
      </c>
      <c r="C246" t="s">
        <v>35</v>
      </c>
      <c r="D246">
        <f>_xlfn.XLOOKUP(C246, stage_mapping!$A$1:$A$8, stage_mapping!$B$1:$B$8)</f>
        <v>4</v>
      </c>
      <c r="E246">
        <v>36719</v>
      </c>
      <c r="F246" t="s">
        <v>28</v>
      </c>
      <c r="G246" t="s">
        <v>17</v>
      </c>
      <c r="H246" s="1">
        <v>45478</v>
      </c>
      <c r="I246" s="1"/>
    </row>
    <row r="247" spans="1:9" x14ac:dyDescent="0.25">
      <c r="A247" t="s">
        <v>292</v>
      </c>
      <c r="B247" t="s">
        <v>63</v>
      </c>
      <c r="C247" t="s">
        <v>10</v>
      </c>
      <c r="D247">
        <f>_xlfn.XLOOKUP(C247, stage_mapping!$A$1:$A$8, stage_mapping!$B$1:$B$8)</f>
        <v>1</v>
      </c>
      <c r="E247">
        <v>9085</v>
      </c>
      <c r="F247" t="s">
        <v>11</v>
      </c>
      <c r="G247" t="s">
        <v>17</v>
      </c>
      <c r="H247" s="1">
        <v>45514</v>
      </c>
      <c r="I247" s="1"/>
    </row>
    <row r="248" spans="1:9" x14ac:dyDescent="0.25">
      <c r="A248" t="s">
        <v>293</v>
      </c>
      <c r="B248" t="s">
        <v>19</v>
      </c>
      <c r="C248" t="s">
        <v>24</v>
      </c>
      <c r="D248">
        <f>_xlfn.XLOOKUP(C248, stage_mapping!$A$1:$A$8, stage_mapping!$B$1:$B$8)</f>
        <v>8</v>
      </c>
      <c r="E248">
        <v>48222</v>
      </c>
      <c r="F248" t="s">
        <v>11</v>
      </c>
      <c r="G248" t="s">
        <v>29</v>
      </c>
      <c r="H248" s="1">
        <v>45682</v>
      </c>
      <c r="I248" s="1">
        <v>45738</v>
      </c>
    </row>
    <row r="249" spans="1:9" x14ac:dyDescent="0.25">
      <c r="A249" t="s">
        <v>294</v>
      </c>
      <c r="B249" t="s">
        <v>56</v>
      </c>
      <c r="C249" t="s">
        <v>53</v>
      </c>
      <c r="D249">
        <f>_xlfn.XLOOKUP(C249, stage_mapping!$A$1:$A$8, stage_mapping!$B$1:$B$8)</f>
        <v>7</v>
      </c>
      <c r="E249">
        <v>3982</v>
      </c>
      <c r="F249" t="s">
        <v>16</v>
      </c>
      <c r="G249" t="s">
        <v>17</v>
      </c>
      <c r="H249" s="1">
        <v>45622</v>
      </c>
      <c r="I249" s="1">
        <v>45678</v>
      </c>
    </row>
    <row r="250" spans="1:9" x14ac:dyDescent="0.25">
      <c r="A250" t="s">
        <v>295</v>
      </c>
      <c r="B250" t="s">
        <v>23</v>
      </c>
      <c r="C250" t="s">
        <v>49</v>
      </c>
      <c r="D250">
        <f>_xlfn.XLOOKUP(C250, stage_mapping!$A$1:$A$8, stage_mapping!$B$1:$B$8)</f>
        <v>6</v>
      </c>
      <c r="E250">
        <v>30132</v>
      </c>
      <c r="F250" t="s">
        <v>28</v>
      </c>
      <c r="G250" t="s">
        <v>12</v>
      </c>
      <c r="H250" s="1">
        <v>45540</v>
      </c>
      <c r="I250" s="1"/>
    </row>
    <row r="251" spans="1:9" x14ac:dyDescent="0.25">
      <c r="A251" t="s">
        <v>296</v>
      </c>
      <c r="B251" t="s">
        <v>39</v>
      </c>
      <c r="C251" t="s">
        <v>53</v>
      </c>
      <c r="D251">
        <f>_xlfn.XLOOKUP(C251, stage_mapping!$A$1:$A$8, stage_mapping!$B$1:$B$8)</f>
        <v>7</v>
      </c>
      <c r="E251">
        <v>6890</v>
      </c>
      <c r="F251" t="s">
        <v>535</v>
      </c>
      <c r="G251" t="s">
        <v>12</v>
      </c>
      <c r="H251" s="1">
        <v>45530</v>
      </c>
      <c r="I251" s="1">
        <v>45556</v>
      </c>
    </row>
    <row r="252" spans="1:9" x14ac:dyDescent="0.25">
      <c r="A252" t="s">
        <v>297</v>
      </c>
      <c r="B252" t="s">
        <v>79</v>
      </c>
      <c r="C252" t="s">
        <v>15</v>
      </c>
      <c r="D252">
        <f>_xlfn.XLOOKUP(C252, stage_mapping!$A$1:$A$8, stage_mapping!$B$1:$B$8)</f>
        <v>2</v>
      </c>
      <c r="E252">
        <v>38616</v>
      </c>
      <c r="F252" t="s">
        <v>16</v>
      </c>
      <c r="G252" t="s">
        <v>21</v>
      </c>
      <c r="H252" s="1">
        <v>45486</v>
      </c>
      <c r="I252" s="1"/>
    </row>
    <row r="253" spans="1:9" x14ac:dyDescent="0.25">
      <c r="A253" t="s">
        <v>298</v>
      </c>
      <c r="B253" t="s">
        <v>79</v>
      </c>
      <c r="C253" t="s">
        <v>49</v>
      </c>
      <c r="D253">
        <f>_xlfn.XLOOKUP(C253, stage_mapping!$A$1:$A$8, stage_mapping!$B$1:$B$8)</f>
        <v>6</v>
      </c>
      <c r="E253">
        <v>103147</v>
      </c>
      <c r="F253" t="s">
        <v>11</v>
      </c>
      <c r="G253" t="s">
        <v>25</v>
      </c>
      <c r="H253" s="1">
        <v>45481</v>
      </c>
      <c r="I253" s="1"/>
    </row>
    <row r="254" spans="1:9" x14ac:dyDescent="0.25">
      <c r="A254" t="s">
        <v>299</v>
      </c>
      <c r="B254" t="s">
        <v>9</v>
      </c>
      <c r="C254" t="s">
        <v>10</v>
      </c>
      <c r="D254">
        <f>_xlfn.XLOOKUP(C254, stage_mapping!$A$1:$A$8, stage_mapping!$B$1:$B$8)</f>
        <v>1</v>
      </c>
      <c r="E254">
        <v>16266</v>
      </c>
      <c r="F254" t="s">
        <v>535</v>
      </c>
      <c r="G254" t="s">
        <v>25</v>
      </c>
      <c r="H254" s="1">
        <v>45360</v>
      </c>
      <c r="I254" s="1">
        <v>45414</v>
      </c>
    </row>
    <row r="255" spans="1:9" x14ac:dyDescent="0.25">
      <c r="A255" t="s">
        <v>300</v>
      </c>
      <c r="B255" t="s">
        <v>42</v>
      </c>
      <c r="C255" t="s">
        <v>49</v>
      </c>
      <c r="D255">
        <f>_xlfn.XLOOKUP(C255, stage_mapping!$A$1:$A$8, stage_mapping!$B$1:$B$8)</f>
        <v>6</v>
      </c>
      <c r="E255">
        <v>20523</v>
      </c>
      <c r="F255" t="s">
        <v>16</v>
      </c>
      <c r="G255" t="s">
        <v>17</v>
      </c>
      <c r="H255" s="1">
        <v>45717</v>
      </c>
      <c r="I255" s="1"/>
    </row>
    <row r="256" spans="1:9" x14ac:dyDescent="0.25">
      <c r="A256" t="s">
        <v>301</v>
      </c>
      <c r="B256" t="s">
        <v>45</v>
      </c>
      <c r="C256" t="s">
        <v>71</v>
      </c>
      <c r="D256">
        <f>_xlfn.XLOOKUP(C256, stage_mapping!$A$1:$A$8, stage_mapping!$B$1:$B$8)</f>
        <v>5</v>
      </c>
      <c r="E256">
        <v>14206</v>
      </c>
      <c r="F256" t="s">
        <v>43</v>
      </c>
      <c r="G256" t="s">
        <v>21</v>
      </c>
      <c r="H256" s="1">
        <v>45945</v>
      </c>
      <c r="I256" s="1"/>
    </row>
    <row r="257" spans="1:9" x14ac:dyDescent="0.25">
      <c r="A257" t="s">
        <v>302</v>
      </c>
      <c r="B257" t="s">
        <v>65</v>
      </c>
      <c r="C257" t="s">
        <v>71</v>
      </c>
      <c r="D257">
        <f>_xlfn.XLOOKUP(C257, stage_mapping!$A$1:$A$8, stage_mapping!$B$1:$B$8)</f>
        <v>5</v>
      </c>
      <c r="E257">
        <v>16975</v>
      </c>
      <c r="F257" t="s">
        <v>16</v>
      </c>
      <c r="G257" t="s">
        <v>12</v>
      </c>
      <c r="H257" s="1">
        <v>45623</v>
      </c>
      <c r="I257" s="1"/>
    </row>
    <row r="258" spans="1:9" x14ac:dyDescent="0.25">
      <c r="A258" t="s">
        <v>303</v>
      </c>
      <c r="B258" t="s">
        <v>34</v>
      </c>
      <c r="C258" t="s">
        <v>24</v>
      </c>
      <c r="D258">
        <f>_xlfn.XLOOKUP(C258, stage_mapping!$A$1:$A$8, stage_mapping!$B$1:$B$8)</f>
        <v>8</v>
      </c>
      <c r="E258">
        <v>18671</v>
      </c>
      <c r="F258" t="s">
        <v>11</v>
      </c>
      <c r="G258" t="s">
        <v>17</v>
      </c>
      <c r="H258" s="1">
        <v>45519</v>
      </c>
      <c r="I258" s="1">
        <v>45598</v>
      </c>
    </row>
    <row r="259" spans="1:9" x14ac:dyDescent="0.25">
      <c r="A259" t="s">
        <v>304</v>
      </c>
      <c r="B259" t="s">
        <v>63</v>
      </c>
      <c r="C259" t="s">
        <v>15</v>
      </c>
      <c r="D259">
        <f>_xlfn.XLOOKUP(C259, stage_mapping!$A$1:$A$8, stage_mapping!$B$1:$B$8)</f>
        <v>2</v>
      </c>
      <c r="E259">
        <v>3347</v>
      </c>
      <c r="F259" t="s">
        <v>20</v>
      </c>
      <c r="G259" t="s">
        <v>17</v>
      </c>
      <c r="H259" s="1">
        <v>45876</v>
      </c>
      <c r="I259" s="1"/>
    </row>
    <row r="260" spans="1:9" x14ac:dyDescent="0.25">
      <c r="A260" t="s">
        <v>305</v>
      </c>
      <c r="B260" t="s">
        <v>39</v>
      </c>
      <c r="C260" t="s">
        <v>53</v>
      </c>
      <c r="D260">
        <f>_xlfn.XLOOKUP(C260, stage_mapping!$A$1:$A$8, stage_mapping!$B$1:$B$8)</f>
        <v>7</v>
      </c>
      <c r="E260">
        <v>4641</v>
      </c>
      <c r="F260" t="s">
        <v>16</v>
      </c>
      <c r="G260" t="s">
        <v>12</v>
      </c>
      <c r="H260" s="1">
        <v>45634</v>
      </c>
      <c r="I260" s="1">
        <v>45641</v>
      </c>
    </row>
    <row r="261" spans="1:9" x14ac:dyDescent="0.25">
      <c r="A261" t="s">
        <v>306</v>
      </c>
      <c r="B261" t="s">
        <v>19</v>
      </c>
      <c r="C261" t="s">
        <v>35</v>
      </c>
      <c r="D261">
        <f>_xlfn.XLOOKUP(C261, stage_mapping!$A$1:$A$8, stage_mapping!$B$1:$B$8)</f>
        <v>4</v>
      </c>
      <c r="E261">
        <v>40745</v>
      </c>
      <c r="F261" t="s">
        <v>11</v>
      </c>
      <c r="G261" t="s">
        <v>29</v>
      </c>
      <c r="H261" s="1">
        <v>45806</v>
      </c>
      <c r="I261" s="1"/>
    </row>
    <row r="262" spans="1:9" x14ac:dyDescent="0.25">
      <c r="A262" t="s">
        <v>307</v>
      </c>
      <c r="B262" t="s">
        <v>63</v>
      </c>
      <c r="C262" t="s">
        <v>53</v>
      </c>
      <c r="D262">
        <f>_xlfn.XLOOKUP(C262, stage_mapping!$A$1:$A$8, stage_mapping!$B$1:$B$8)</f>
        <v>7</v>
      </c>
      <c r="E262">
        <v>4634</v>
      </c>
      <c r="F262" t="s">
        <v>16</v>
      </c>
      <c r="G262" t="s">
        <v>17</v>
      </c>
      <c r="H262" s="1">
        <v>45560</v>
      </c>
      <c r="I262" s="1">
        <v>45619</v>
      </c>
    </row>
    <row r="263" spans="1:9" x14ac:dyDescent="0.25">
      <c r="A263" t="s">
        <v>308</v>
      </c>
      <c r="B263" t="s">
        <v>31</v>
      </c>
      <c r="C263" t="s">
        <v>35</v>
      </c>
      <c r="D263">
        <f>_xlfn.XLOOKUP(C263, stage_mapping!$A$1:$A$8, stage_mapping!$B$1:$B$8)</f>
        <v>4</v>
      </c>
      <c r="E263">
        <v>5129</v>
      </c>
      <c r="F263" t="s">
        <v>535</v>
      </c>
      <c r="G263" t="s">
        <v>21</v>
      </c>
      <c r="H263" s="1">
        <v>45383</v>
      </c>
      <c r="I263" s="1"/>
    </row>
    <row r="264" spans="1:9" x14ac:dyDescent="0.25">
      <c r="A264" t="s">
        <v>309</v>
      </c>
      <c r="B264" t="s">
        <v>9</v>
      </c>
      <c r="C264" t="s">
        <v>15</v>
      </c>
      <c r="D264">
        <f>_xlfn.XLOOKUP(C264, stage_mapping!$A$1:$A$8, stage_mapping!$B$1:$B$8)</f>
        <v>2</v>
      </c>
      <c r="E264">
        <v>14558</v>
      </c>
      <c r="F264" t="s">
        <v>32</v>
      </c>
      <c r="G264" t="s">
        <v>12</v>
      </c>
      <c r="H264" s="1">
        <v>45451</v>
      </c>
      <c r="I264" s="1">
        <v>45482</v>
      </c>
    </row>
    <row r="265" spans="1:9" x14ac:dyDescent="0.25">
      <c r="A265" t="s">
        <v>310</v>
      </c>
      <c r="B265" t="s">
        <v>47</v>
      </c>
      <c r="C265" t="s">
        <v>15</v>
      </c>
      <c r="D265">
        <f>_xlfn.XLOOKUP(C265, stage_mapping!$A$1:$A$8, stage_mapping!$B$1:$B$8)</f>
        <v>2</v>
      </c>
      <c r="E265">
        <v>26581</v>
      </c>
      <c r="F265" t="s">
        <v>43</v>
      </c>
      <c r="G265" t="s">
        <v>17</v>
      </c>
      <c r="H265" s="1">
        <v>45497</v>
      </c>
      <c r="I265" s="1">
        <v>45503</v>
      </c>
    </row>
    <row r="266" spans="1:9" x14ac:dyDescent="0.25">
      <c r="A266" t="s">
        <v>311</v>
      </c>
      <c r="B266" t="s">
        <v>19</v>
      </c>
      <c r="C266" t="s">
        <v>53</v>
      </c>
      <c r="D266">
        <f>_xlfn.XLOOKUP(C266, stage_mapping!$A$1:$A$8, stage_mapping!$B$1:$B$8)</f>
        <v>7</v>
      </c>
      <c r="E266">
        <v>70519</v>
      </c>
      <c r="F266" t="s">
        <v>43</v>
      </c>
      <c r="G266" t="s">
        <v>29</v>
      </c>
      <c r="H266" s="1">
        <v>45788</v>
      </c>
      <c r="I266" s="1">
        <v>45832</v>
      </c>
    </row>
    <row r="267" spans="1:9" x14ac:dyDescent="0.25">
      <c r="A267" t="s">
        <v>312</v>
      </c>
      <c r="B267" t="s">
        <v>105</v>
      </c>
      <c r="C267" t="s">
        <v>35</v>
      </c>
      <c r="D267">
        <f>_xlfn.XLOOKUP(C267, stage_mapping!$A$1:$A$8, stage_mapping!$B$1:$B$8)</f>
        <v>4</v>
      </c>
      <c r="E267">
        <v>37817</v>
      </c>
      <c r="F267" t="s">
        <v>11</v>
      </c>
      <c r="G267" t="s">
        <v>29</v>
      </c>
      <c r="H267" s="1">
        <v>45932</v>
      </c>
      <c r="I267" s="1">
        <v>45969</v>
      </c>
    </row>
    <row r="268" spans="1:9" x14ac:dyDescent="0.25">
      <c r="A268" t="s">
        <v>313</v>
      </c>
      <c r="B268" t="s">
        <v>19</v>
      </c>
      <c r="C268" t="s">
        <v>35</v>
      </c>
      <c r="D268">
        <f>_xlfn.XLOOKUP(C268, stage_mapping!$A$1:$A$8, stage_mapping!$B$1:$B$8)</f>
        <v>4</v>
      </c>
      <c r="E268">
        <v>42829</v>
      </c>
      <c r="F268" t="s">
        <v>535</v>
      </c>
      <c r="G268" t="s">
        <v>29</v>
      </c>
      <c r="H268" s="1">
        <v>45932</v>
      </c>
      <c r="I268" s="1"/>
    </row>
    <row r="269" spans="1:9" x14ac:dyDescent="0.25">
      <c r="A269" t="s">
        <v>314</v>
      </c>
      <c r="B269" t="s">
        <v>63</v>
      </c>
      <c r="C269" t="s">
        <v>24</v>
      </c>
      <c r="D269">
        <f>_xlfn.XLOOKUP(C269, stage_mapping!$A$1:$A$8, stage_mapping!$B$1:$B$8)</f>
        <v>8</v>
      </c>
      <c r="E269">
        <v>24239</v>
      </c>
      <c r="F269" t="s">
        <v>28</v>
      </c>
      <c r="G269" t="s">
        <v>17</v>
      </c>
      <c r="H269" s="1">
        <v>45440</v>
      </c>
      <c r="I269" s="1">
        <v>45516</v>
      </c>
    </row>
    <row r="270" spans="1:9" x14ac:dyDescent="0.25">
      <c r="A270" t="s">
        <v>315</v>
      </c>
      <c r="B270" t="s">
        <v>34</v>
      </c>
      <c r="C270" t="s">
        <v>97</v>
      </c>
      <c r="D270">
        <f>_xlfn.XLOOKUP(C270, stage_mapping!$A$1:$A$8, stage_mapping!$B$1:$B$8)</f>
        <v>3</v>
      </c>
      <c r="E270">
        <v>47186</v>
      </c>
      <c r="F270" t="s">
        <v>32</v>
      </c>
      <c r="G270" t="s">
        <v>17</v>
      </c>
      <c r="H270" s="1">
        <v>45401</v>
      </c>
      <c r="I270" s="1"/>
    </row>
    <row r="271" spans="1:9" x14ac:dyDescent="0.25">
      <c r="A271" t="s">
        <v>316</v>
      </c>
      <c r="B271" t="s">
        <v>27</v>
      </c>
      <c r="C271" t="s">
        <v>15</v>
      </c>
      <c r="D271">
        <f>_xlfn.XLOOKUP(C271, stage_mapping!$A$1:$A$8, stage_mapping!$B$1:$B$8)</f>
        <v>2</v>
      </c>
      <c r="E271">
        <v>4343</v>
      </c>
      <c r="F271" t="s">
        <v>11</v>
      </c>
      <c r="G271" t="s">
        <v>21</v>
      </c>
      <c r="H271" s="1">
        <v>45307</v>
      </c>
      <c r="I271" s="1"/>
    </row>
    <row r="272" spans="1:9" x14ac:dyDescent="0.25">
      <c r="A272" t="s">
        <v>317</v>
      </c>
      <c r="B272" t="s">
        <v>31</v>
      </c>
      <c r="C272" t="s">
        <v>53</v>
      </c>
      <c r="D272">
        <f>_xlfn.XLOOKUP(C272, stage_mapping!$A$1:$A$8, stage_mapping!$B$1:$B$8)</f>
        <v>7</v>
      </c>
      <c r="E272">
        <v>18014</v>
      </c>
      <c r="F272" t="s">
        <v>43</v>
      </c>
      <c r="G272" t="s">
        <v>21</v>
      </c>
      <c r="H272" s="1">
        <v>45695</v>
      </c>
      <c r="I272" s="1">
        <v>45760</v>
      </c>
    </row>
    <row r="273" spans="1:9" x14ac:dyDescent="0.25">
      <c r="A273" t="s">
        <v>318</v>
      </c>
      <c r="B273" t="s">
        <v>31</v>
      </c>
      <c r="C273" t="s">
        <v>10</v>
      </c>
      <c r="D273">
        <f>_xlfn.XLOOKUP(C273, stage_mapping!$A$1:$A$8, stage_mapping!$B$1:$B$8)</f>
        <v>1</v>
      </c>
      <c r="E273">
        <v>7061</v>
      </c>
      <c r="F273" t="s">
        <v>32</v>
      </c>
      <c r="G273" t="s">
        <v>21</v>
      </c>
      <c r="H273" s="1">
        <v>45937</v>
      </c>
      <c r="I273" s="1"/>
    </row>
    <row r="274" spans="1:9" x14ac:dyDescent="0.25">
      <c r="A274" t="s">
        <v>319</v>
      </c>
      <c r="B274" t="s">
        <v>37</v>
      </c>
      <c r="C274" t="s">
        <v>71</v>
      </c>
      <c r="D274">
        <f>_xlfn.XLOOKUP(C274, stage_mapping!$A$1:$A$8, stage_mapping!$B$1:$B$8)</f>
        <v>5</v>
      </c>
      <c r="E274">
        <v>8103</v>
      </c>
      <c r="F274" t="s">
        <v>11</v>
      </c>
      <c r="G274" t="s">
        <v>29</v>
      </c>
      <c r="H274" s="1">
        <v>45851</v>
      </c>
      <c r="I274" s="1"/>
    </row>
    <row r="275" spans="1:9" x14ac:dyDescent="0.25">
      <c r="A275" t="s">
        <v>320</v>
      </c>
      <c r="B275" t="s">
        <v>56</v>
      </c>
      <c r="C275" t="s">
        <v>35</v>
      </c>
      <c r="D275">
        <f>_xlfn.XLOOKUP(C275, stage_mapping!$A$1:$A$8, stage_mapping!$B$1:$B$8)</f>
        <v>4</v>
      </c>
      <c r="E275">
        <v>21127</v>
      </c>
      <c r="F275" t="s">
        <v>16</v>
      </c>
      <c r="G275" t="s">
        <v>17</v>
      </c>
      <c r="H275" s="1">
        <v>45685</v>
      </c>
      <c r="I275" s="1"/>
    </row>
    <row r="276" spans="1:9" x14ac:dyDescent="0.25">
      <c r="A276" t="s">
        <v>321</v>
      </c>
      <c r="B276" t="s">
        <v>23</v>
      </c>
      <c r="C276" t="s">
        <v>35</v>
      </c>
      <c r="D276">
        <f>_xlfn.XLOOKUP(C276, stage_mapping!$A$1:$A$8, stage_mapping!$B$1:$B$8)</f>
        <v>4</v>
      </c>
      <c r="E276">
        <v>11244</v>
      </c>
      <c r="F276" t="s">
        <v>535</v>
      </c>
      <c r="G276" t="s">
        <v>12</v>
      </c>
      <c r="H276" s="1">
        <v>45412</v>
      </c>
      <c r="I276" s="1"/>
    </row>
    <row r="277" spans="1:9" x14ac:dyDescent="0.25">
      <c r="A277" t="s">
        <v>322</v>
      </c>
      <c r="B277" t="s">
        <v>14</v>
      </c>
      <c r="C277" t="s">
        <v>53</v>
      </c>
      <c r="D277">
        <f>_xlfn.XLOOKUP(C277, stage_mapping!$A$1:$A$8, stage_mapping!$B$1:$B$8)</f>
        <v>7</v>
      </c>
      <c r="E277">
        <v>12120</v>
      </c>
      <c r="F277" t="s">
        <v>43</v>
      </c>
      <c r="G277" t="s">
        <v>17</v>
      </c>
      <c r="H277" s="1">
        <v>45443</v>
      </c>
      <c r="I277" s="1">
        <v>45504</v>
      </c>
    </row>
    <row r="278" spans="1:9" x14ac:dyDescent="0.25">
      <c r="A278" t="s">
        <v>323</v>
      </c>
      <c r="B278" t="s">
        <v>34</v>
      </c>
      <c r="C278" t="s">
        <v>49</v>
      </c>
      <c r="D278">
        <f>_xlfn.XLOOKUP(C278, stage_mapping!$A$1:$A$8, stage_mapping!$B$1:$B$8)</f>
        <v>6</v>
      </c>
      <c r="E278">
        <v>46562</v>
      </c>
      <c r="F278" t="s">
        <v>535</v>
      </c>
      <c r="G278" t="s">
        <v>17</v>
      </c>
      <c r="H278" s="1">
        <v>45758</v>
      </c>
      <c r="I278" s="1">
        <v>45801</v>
      </c>
    </row>
    <row r="279" spans="1:9" x14ac:dyDescent="0.25">
      <c r="A279" t="s">
        <v>324</v>
      </c>
      <c r="B279" t="s">
        <v>79</v>
      </c>
      <c r="C279" t="s">
        <v>53</v>
      </c>
      <c r="D279">
        <f>_xlfn.XLOOKUP(C279, stage_mapping!$A$1:$A$8, stage_mapping!$B$1:$B$8)</f>
        <v>7</v>
      </c>
      <c r="E279">
        <v>28610</v>
      </c>
      <c r="F279" t="s">
        <v>43</v>
      </c>
      <c r="G279" t="s">
        <v>25</v>
      </c>
      <c r="H279" s="1">
        <v>45403</v>
      </c>
      <c r="I279" s="1">
        <v>45466</v>
      </c>
    </row>
    <row r="280" spans="1:9" x14ac:dyDescent="0.25">
      <c r="A280" t="s">
        <v>325</v>
      </c>
      <c r="B280" t="s">
        <v>45</v>
      </c>
      <c r="C280" t="s">
        <v>35</v>
      </c>
      <c r="D280">
        <f>_xlfn.XLOOKUP(C280, stage_mapping!$A$1:$A$8, stage_mapping!$B$1:$B$8)</f>
        <v>4</v>
      </c>
      <c r="E280">
        <v>10593</v>
      </c>
      <c r="F280" t="s">
        <v>43</v>
      </c>
      <c r="G280" t="s">
        <v>12</v>
      </c>
      <c r="H280" s="1">
        <v>45801</v>
      </c>
      <c r="I280" s="1"/>
    </row>
    <row r="281" spans="1:9" x14ac:dyDescent="0.25">
      <c r="A281" t="s">
        <v>326</v>
      </c>
      <c r="B281" t="s">
        <v>23</v>
      </c>
      <c r="C281" t="s">
        <v>49</v>
      </c>
      <c r="D281">
        <f>_xlfn.XLOOKUP(C281, stage_mapping!$A$1:$A$8, stage_mapping!$B$1:$B$8)</f>
        <v>6</v>
      </c>
      <c r="E281">
        <v>14545</v>
      </c>
      <c r="F281" t="s">
        <v>43</v>
      </c>
      <c r="G281" t="s">
        <v>12</v>
      </c>
      <c r="H281" s="1">
        <v>45498</v>
      </c>
      <c r="I281" s="1">
        <v>45541</v>
      </c>
    </row>
    <row r="282" spans="1:9" x14ac:dyDescent="0.25">
      <c r="A282" t="s">
        <v>327</v>
      </c>
      <c r="B282" t="s">
        <v>27</v>
      </c>
      <c r="C282" t="s">
        <v>35</v>
      </c>
      <c r="D282">
        <f>_xlfn.XLOOKUP(C282, stage_mapping!$A$1:$A$8, stage_mapping!$B$1:$B$8)</f>
        <v>4</v>
      </c>
      <c r="E282">
        <v>18538</v>
      </c>
      <c r="F282" t="s">
        <v>32</v>
      </c>
      <c r="G282" t="s">
        <v>29</v>
      </c>
      <c r="H282" s="1">
        <v>45328</v>
      </c>
      <c r="I282" s="1"/>
    </row>
    <row r="283" spans="1:9" x14ac:dyDescent="0.25">
      <c r="A283" t="s">
        <v>328</v>
      </c>
      <c r="B283" t="s">
        <v>45</v>
      </c>
      <c r="C283" t="s">
        <v>10</v>
      </c>
      <c r="D283">
        <f>_xlfn.XLOOKUP(C283, stage_mapping!$A$1:$A$8, stage_mapping!$B$1:$B$8)</f>
        <v>1</v>
      </c>
      <c r="E283">
        <v>27927</v>
      </c>
      <c r="F283" t="s">
        <v>43</v>
      </c>
      <c r="G283" t="s">
        <v>21</v>
      </c>
      <c r="H283" s="1">
        <v>45631</v>
      </c>
      <c r="I283" s="1"/>
    </row>
    <row r="284" spans="1:9" x14ac:dyDescent="0.25">
      <c r="A284" t="s">
        <v>329</v>
      </c>
      <c r="B284" t="s">
        <v>31</v>
      </c>
      <c r="C284" t="s">
        <v>35</v>
      </c>
      <c r="D284">
        <f>_xlfn.XLOOKUP(C284, stage_mapping!$A$1:$A$8, stage_mapping!$B$1:$B$8)</f>
        <v>4</v>
      </c>
      <c r="E284">
        <v>13521</v>
      </c>
      <c r="F284" t="s">
        <v>20</v>
      </c>
      <c r="G284" t="s">
        <v>21</v>
      </c>
      <c r="H284" s="1">
        <v>45330</v>
      </c>
      <c r="I284" s="1"/>
    </row>
    <row r="285" spans="1:9" x14ac:dyDescent="0.25">
      <c r="A285" t="s">
        <v>330</v>
      </c>
      <c r="B285" t="s">
        <v>81</v>
      </c>
      <c r="C285" t="s">
        <v>10</v>
      </c>
      <c r="D285">
        <f>_xlfn.XLOOKUP(C285, stage_mapping!$A$1:$A$8, stage_mapping!$B$1:$B$8)</f>
        <v>1</v>
      </c>
      <c r="E285">
        <v>10597</v>
      </c>
      <c r="F285" t="s">
        <v>20</v>
      </c>
      <c r="G285" t="s">
        <v>17</v>
      </c>
      <c r="H285" s="1">
        <v>45826</v>
      </c>
      <c r="I285" s="1">
        <v>45842</v>
      </c>
    </row>
    <row r="286" spans="1:9" x14ac:dyDescent="0.25">
      <c r="A286" t="s">
        <v>331</v>
      </c>
      <c r="B286" t="s">
        <v>105</v>
      </c>
      <c r="C286" t="s">
        <v>35</v>
      </c>
      <c r="D286">
        <f>_xlfn.XLOOKUP(C286, stage_mapping!$A$1:$A$8, stage_mapping!$B$1:$B$8)</f>
        <v>4</v>
      </c>
      <c r="E286">
        <v>14971</v>
      </c>
      <c r="F286" t="s">
        <v>20</v>
      </c>
      <c r="G286" t="s">
        <v>29</v>
      </c>
      <c r="H286" s="1">
        <v>45412</v>
      </c>
      <c r="I286" s="1"/>
    </row>
    <row r="287" spans="1:9" x14ac:dyDescent="0.25">
      <c r="A287" t="s">
        <v>332</v>
      </c>
      <c r="B287" t="s">
        <v>45</v>
      </c>
      <c r="C287" t="s">
        <v>24</v>
      </c>
      <c r="D287">
        <f>_xlfn.XLOOKUP(C287, stage_mapping!$A$1:$A$8, stage_mapping!$B$1:$B$8)</f>
        <v>8</v>
      </c>
      <c r="E287">
        <v>6260</v>
      </c>
      <c r="F287" t="s">
        <v>20</v>
      </c>
      <c r="G287" t="s">
        <v>21</v>
      </c>
      <c r="H287" s="1">
        <v>45343</v>
      </c>
      <c r="I287" s="1">
        <v>45408</v>
      </c>
    </row>
    <row r="288" spans="1:9" x14ac:dyDescent="0.25">
      <c r="A288" t="s">
        <v>333</v>
      </c>
      <c r="B288" t="s">
        <v>9</v>
      </c>
      <c r="C288" t="s">
        <v>53</v>
      </c>
      <c r="D288">
        <f>_xlfn.XLOOKUP(C288, stage_mapping!$A$1:$A$8, stage_mapping!$B$1:$B$8)</f>
        <v>7</v>
      </c>
      <c r="E288">
        <v>84436</v>
      </c>
      <c r="F288" t="s">
        <v>28</v>
      </c>
      <c r="G288" t="s">
        <v>12</v>
      </c>
      <c r="H288" s="1">
        <v>45838</v>
      </c>
      <c r="I288" s="1">
        <v>45885</v>
      </c>
    </row>
    <row r="289" spans="1:9" x14ac:dyDescent="0.25">
      <c r="A289" t="s">
        <v>334</v>
      </c>
      <c r="B289" t="s">
        <v>68</v>
      </c>
      <c r="C289" t="s">
        <v>24</v>
      </c>
      <c r="D289">
        <f>_xlfn.XLOOKUP(C289, stage_mapping!$A$1:$A$8, stage_mapping!$B$1:$B$8)</f>
        <v>8</v>
      </c>
      <c r="E289">
        <v>11108</v>
      </c>
      <c r="F289" t="s">
        <v>11</v>
      </c>
      <c r="G289" t="s">
        <v>12</v>
      </c>
      <c r="H289" s="1">
        <v>45664</v>
      </c>
      <c r="I289" s="1">
        <v>45712</v>
      </c>
    </row>
    <row r="290" spans="1:9" x14ac:dyDescent="0.25">
      <c r="A290" t="s">
        <v>335</v>
      </c>
      <c r="B290" t="s">
        <v>65</v>
      </c>
      <c r="C290" t="s">
        <v>35</v>
      </c>
      <c r="D290">
        <f>_xlfn.XLOOKUP(C290, stage_mapping!$A$1:$A$8, stage_mapping!$B$1:$B$8)</f>
        <v>4</v>
      </c>
      <c r="E290">
        <v>5898</v>
      </c>
      <c r="F290" t="s">
        <v>43</v>
      </c>
      <c r="G290" t="s">
        <v>12</v>
      </c>
      <c r="H290" s="1">
        <v>45401</v>
      </c>
      <c r="I290" s="1"/>
    </row>
    <row r="291" spans="1:9" x14ac:dyDescent="0.25">
      <c r="A291" t="s">
        <v>336</v>
      </c>
      <c r="B291" t="s">
        <v>105</v>
      </c>
      <c r="C291" t="s">
        <v>53</v>
      </c>
      <c r="D291">
        <f>_xlfn.XLOOKUP(C291, stage_mapping!$A$1:$A$8, stage_mapping!$B$1:$B$8)</f>
        <v>7</v>
      </c>
      <c r="E291">
        <v>16409</v>
      </c>
      <c r="F291" t="s">
        <v>43</v>
      </c>
      <c r="G291" t="s">
        <v>29</v>
      </c>
      <c r="H291" s="1">
        <v>45642</v>
      </c>
      <c r="I291" s="1">
        <v>45662</v>
      </c>
    </row>
    <row r="292" spans="1:9" x14ac:dyDescent="0.25">
      <c r="A292" t="s">
        <v>337</v>
      </c>
      <c r="B292" t="s">
        <v>14</v>
      </c>
      <c r="C292" t="s">
        <v>24</v>
      </c>
      <c r="D292">
        <f>_xlfn.XLOOKUP(C292, stage_mapping!$A$1:$A$8, stage_mapping!$B$1:$B$8)</f>
        <v>8</v>
      </c>
      <c r="E292">
        <v>53455</v>
      </c>
      <c r="F292" t="s">
        <v>11</v>
      </c>
      <c r="G292" t="s">
        <v>17</v>
      </c>
      <c r="H292" s="1">
        <v>45403</v>
      </c>
      <c r="I292" s="1">
        <v>45483</v>
      </c>
    </row>
    <row r="293" spans="1:9" x14ac:dyDescent="0.25">
      <c r="A293" t="s">
        <v>338</v>
      </c>
      <c r="B293" t="s">
        <v>63</v>
      </c>
      <c r="C293" t="s">
        <v>35</v>
      </c>
      <c r="D293">
        <f>_xlfn.XLOOKUP(C293, stage_mapping!$A$1:$A$8, stage_mapping!$B$1:$B$8)</f>
        <v>4</v>
      </c>
      <c r="E293">
        <v>3326</v>
      </c>
      <c r="F293" t="s">
        <v>43</v>
      </c>
      <c r="G293" t="s">
        <v>17</v>
      </c>
      <c r="H293" s="1">
        <v>45492</v>
      </c>
      <c r="I293" s="1"/>
    </row>
    <row r="294" spans="1:9" x14ac:dyDescent="0.25">
      <c r="A294" t="s">
        <v>339</v>
      </c>
      <c r="B294" t="s">
        <v>63</v>
      </c>
      <c r="C294" t="s">
        <v>24</v>
      </c>
      <c r="D294">
        <f>_xlfn.XLOOKUP(C294, stage_mapping!$A$1:$A$8, stage_mapping!$B$1:$B$8)</f>
        <v>8</v>
      </c>
      <c r="E294">
        <v>24134</v>
      </c>
      <c r="F294" t="s">
        <v>32</v>
      </c>
      <c r="G294" t="s">
        <v>17</v>
      </c>
      <c r="H294" s="1">
        <v>45865</v>
      </c>
      <c r="I294" s="1">
        <v>45915</v>
      </c>
    </row>
    <row r="295" spans="1:9" x14ac:dyDescent="0.25">
      <c r="A295" t="s">
        <v>340</v>
      </c>
      <c r="B295" t="s">
        <v>19</v>
      </c>
      <c r="C295" t="s">
        <v>35</v>
      </c>
      <c r="D295">
        <f>_xlfn.XLOOKUP(C295, stage_mapping!$A$1:$A$8, stage_mapping!$B$1:$B$8)</f>
        <v>4</v>
      </c>
      <c r="E295">
        <v>55551</v>
      </c>
      <c r="F295" t="s">
        <v>535</v>
      </c>
      <c r="G295" t="s">
        <v>29</v>
      </c>
      <c r="H295" s="1">
        <v>45685</v>
      </c>
      <c r="I295" s="1"/>
    </row>
    <row r="296" spans="1:9" x14ac:dyDescent="0.25">
      <c r="A296" t="s">
        <v>341</v>
      </c>
      <c r="B296" t="s">
        <v>63</v>
      </c>
      <c r="C296" t="s">
        <v>24</v>
      </c>
      <c r="D296">
        <f>_xlfn.XLOOKUP(C296, stage_mapping!$A$1:$A$8, stage_mapping!$B$1:$B$8)</f>
        <v>8</v>
      </c>
      <c r="E296">
        <v>19594</v>
      </c>
      <c r="F296" t="s">
        <v>28</v>
      </c>
      <c r="G296" t="s">
        <v>17</v>
      </c>
      <c r="H296" s="1">
        <v>46004</v>
      </c>
      <c r="I296" s="1">
        <v>46067</v>
      </c>
    </row>
    <row r="297" spans="1:9" x14ac:dyDescent="0.25">
      <c r="A297" t="s">
        <v>342</v>
      </c>
      <c r="B297" t="s">
        <v>79</v>
      </c>
      <c r="C297" t="s">
        <v>10</v>
      </c>
      <c r="D297">
        <f>_xlfn.XLOOKUP(C297, stage_mapping!$A$1:$A$8, stage_mapping!$B$1:$B$8)</f>
        <v>1</v>
      </c>
      <c r="E297">
        <v>36.299999999999997</v>
      </c>
      <c r="F297" t="s">
        <v>43</v>
      </c>
      <c r="G297" t="s">
        <v>12</v>
      </c>
      <c r="H297" s="1">
        <v>45786</v>
      </c>
      <c r="I297" s="1"/>
    </row>
    <row r="298" spans="1:9" x14ac:dyDescent="0.25">
      <c r="A298" t="s">
        <v>343</v>
      </c>
      <c r="B298" t="s">
        <v>81</v>
      </c>
      <c r="C298" t="s">
        <v>53</v>
      </c>
      <c r="D298">
        <f>_xlfn.XLOOKUP(C298, stage_mapping!$A$1:$A$8, stage_mapping!$B$1:$B$8)</f>
        <v>7</v>
      </c>
      <c r="E298">
        <v>29081</v>
      </c>
      <c r="F298" t="s">
        <v>16</v>
      </c>
      <c r="G298" t="s">
        <v>17</v>
      </c>
      <c r="H298" s="1">
        <v>45371</v>
      </c>
      <c r="I298" s="1">
        <v>45455</v>
      </c>
    </row>
    <row r="299" spans="1:9" x14ac:dyDescent="0.25">
      <c r="A299" t="s">
        <v>344</v>
      </c>
      <c r="B299" t="s">
        <v>105</v>
      </c>
      <c r="C299" t="s">
        <v>10</v>
      </c>
      <c r="D299">
        <f>_xlfn.XLOOKUP(C299, stage_mapping!$A$1:$A$8, stage_mapping!$B$1:$B$8)</f>
        <v>1</v>
      </c>
      <c r="E299">
        <v>38662</v>
      </c>
      <c r="F299" t="s">
        <v>20</v>
      </c>
      <c r="G299" t="s">
        <v>29</v>
      </c>
      <c r="H299" s="1">
        <v>45603</v>
      </c>
      <c r="I299" s="1">
        <v>45668</v>
      </c>
    </row>
    <row r="300" spans="1:9" x14ac:dyDescent="0.25">
      <c r="A300" t="s">
        <v>345</v>
      </c>
      <c r="B300" t="s">
        <v>81</v>
      </c>
      <c r="C300" t="s">
        <v>49</v>
      </c>
      <c r="D300">
        <f>_xlfn.XLOOKUP(C300, stage_mapping!$A$1:$A$8, stage_mapping!$B$1:$B$8)</f>
        <v>6</v>
      </c>
      <c r="E300">
        <v>7948</v>
      </c>
      <c r="F300" t="s">
        <v>20</v>
      </c>
      <c r="G300" t="s">
        <v>17</v>
      </c>
      <c r="H300" s="1">
        <v>45555</v>
      </c>
      <c r="I300" s="1"/>
    </row>
    <row r="301" spans="1:9" x14ac:dyDescent="0.25">
      <c r="A301" t="s">
        <v>346</v>
      </c>
      <c r="B301" t="s">
        <v>105</v>
      </c>
      <c r="C301" t="s">
        <v>15</v>
      </c>
      <c r="D301">
        <f>_xlfn.XLOOKUP(C301, stage_mapping!$A$1:$A$8, stage_mapping!$B$1:$B$8)</f>
        <v>2</v>
      </c>
      <c r="E301">
        <v>28940</v>
      </c>
      <c r="F301" t="s">
        <v>32</v>
      </c>
      <c r="G301" t="s">
        <v>29</v>
      </c>
      <c r="H301" s="1">
        <v>45714</v>
      </c>
      <c r="I301" s="1"/>
    </row>
    <row r="302" spans="1:9" x14ac:dyDescent="0.25">
      <c r="A302" t="s">
        <v>347</v>
      </c>
      <c r="B302" t="s">
        <v>27</v>
      </c>
      <c r="C302" t="s">
        <v>53</v>
      </c>
      <c r="D302">
        <f>_xlfn.XLOOKUP(C302, stage_mapping!$A$1:$A$8, stage_mapping!$B$1:$B$8)</f>
        <v>7</v>
      </c>
      <c r="E302">
        <v>5274</v>
      </c>
      <c r="F302" t="s">
        <v>20</v>
      </c>
      <c r="G302" t="s">
        <v>29</v>
      </c>
      <c r="H302" s="1">
        <v>45837</v>
      </c>
      <c r="I302" s="1">
        <v>45879</v>
      </c>
    </row>
    <row r="303" spans="1:9" x14ac:dyDescent="0.25">
      <c r="A303" t="s">
        <v>348</v>
      </c>
      <c r="B303" t="s">
        <v>39</v>
      </c>
      <c r="C303" t="s">
        <v>24</v>
      </c>
      <c r="D303">
        <f>_xlfn.XLOOKUP(C303, stage_mapping!$A$1:$A$8, stage_mapping!$B$1:$B$8)</f>
        <v>8</v>
      </c>
      <c r="E303">
        <v>20456</v>
      </c>
      <c r="F303" t="s">
        <v>43</v>
      </c>
      <c r="G303" t="s">
        <v>12</v>
      </c>
      <c r="H303" s="1">
        <v>45959</v>
      </c>
      <c r="I303" s="1">
        <v>46042</v>
      </c>
    </row>
    <row r="304" spans="1:9" x14ac:dyDescent="0.25">
      <c r="A304" t="s">
        <v>349</v>
      </c>
      <c r="B304" t="s">
        <v>45</v>
      </c>
      <c r="C304" t="s">
        <v>15</v>
      </c>
      <c r="D304">
        <f>_xlfn.XLOOKUP(C304, stage_mapping!$A$1:$A$8, stage_mapping!$B$1:$B$8)</f>
        <v>2</v>
      </c>
      <c r="E304">
        <v>9060</v>
      </c>
      <c r="F304" t="s">
        <v>535</v>
      </c>
      <c r="G304" t="s">
        <v>12</v>
      </c>
      <c r="H304" s="1">
        <v>45980</v>
      </c>
      <c r="I304" s="1"/>
    </row>
    <row r="305" spans="1:9" x14ac:dyDescent="0.25">
      <c r="A305" t="s">
        <v>350</v>
      </c>
      <c r="B305" t="s">
        <v>56</v>
      </c>
      <c r="C305" t="s">
        <v>71</v>
      </c>
      <c r="D305">
        <f>_xlfn.XLOOKUP(C305, stage_mapping!$A$1:$A$8, stage_mapping!$B$1:$B$8)</f>
        <v>5</v>
      </c>
      <c r="E305">
        <v>26728</v>
      </c>
      <c r="F305" t="s">
        <v>11</v>
      </c>
      <c r="G305" t="s">
        <v>17</v>
      </c>
      <c r="H305" s="1">
        <v>45871</v>
      </c>
      <c r="I305" s="1"/>
    </row>
    <row r="306" spans="1:9" x14ac:dyDescent="0.25">
      <c r="A306" t="s">
        <v>351</v>
      </c>
      <c r="B306" t="s">
        <v>105</v>
      </c>
      <c r="C306" t="s">
        <v>10</v>
      </c>
      <c r="D306">
        <f>_xlfn.XLOOKUP(C306, stage_mapping!$A$1:$A$8, stage_mapping!$B$1:$B$8)</f>
        <v>1</v>
      </c>
      <c r="E306">
        <v>4390</v>
      </c>
      <c r="F306" t="s">
        <v>20</v>
      </c>
      <c r="G306" t="s">
        <v>29</v>
      </c>
      <c r="H306" s="1">
        <v>45353</v>
      </c>
      <c r="I306" s="1"/>
    </row>
    <row r="307" spans="1:9" x14ac:dyDescent="0.25">
      <c r="A307" t="s">
        <v>352</v>
      </c>
      <c r="B307" t="s">
        <v>70</v>
      </c>
      <c r="C307" t="s">
        <v>10</v>
      </c>
      <c r="D307">
        <f>_xlfn.XLOOKUP(C307, stage_mapping!$A$1:$A$8, stage_mapping!$B$1:$B$8)</f>
        <v>1</v>
      </c>
      <c r="E307">
        <v>3788</v>
      </c>
      <c r="F307" t="s">
        <v>11</v>
      </c>
      <c r="G307" t="s">
        <v>21</v>
      </c>
      <c r="H307" s="1">
        <v>45748</v>
      </c>
      <c r="I307" s="1"/>
    </row>
    <row r="308" spans="1:9" x14ac:dyDescent="0.25">
      <c r="A308" t="s">
        <v>353</v>
      </c>
      <c r="B308" t="s">
        <v>68</v>
      </c>
      <c r="C308" t="s">
        <v>53</v>
      </c>
      <c r="D308">
        <f>_xlfn.XLOOKUP(C308, stage_mapping!$A$1:$A$8, stage_mapping!$B$1:$B$8)</f>
        <v>7</v>
      </c>
      <c r="E308">
        <v>14395</v>
      </c>
      <c r="F308" t="s">
        <v>28</v>
      </c>
      <c r="G308" t="s">
        <v>12</v>
      </c>
      <c r="H308" s="1">
        <v>45295</v>
      </c>
      <c r="I308" s="1">
        <v>45355</v>
      </c>
    </row>
    <row r="309" spans="1:9" x14ac:dyDescent="0.25">
      <c r="A309" t="s">
        <v>354</v>
      </c>
      <c r="B309" t="s">
        <v>65</v>
      </c>
      <c r="C309" t="s">
        <v>35</v>
      </c>
      <c r="D309">
        <f>_xlfn.XLOOKUP(C309, stage_mapping!$A$1:$A$8, stage_mapping!$B$1:$B$8)</f>
        <v>4</v>
      </c>
      <c r="E309">
        <v>5377</v>
      </c>
      <c r="F309" t="s">
        <v>11</v>
      </c>
      <c r="G309" t="s">
        <v>12</v>
      </c>
      <c r="H309" s="1">
        <v>45955</v>
      </c>
      <c r="I309" s="1"/>
    </row>
    <row r="310" spans="1:9" x14ac:dyDescent="0.25">
      <c r="A310" t="s">
        <v>355</v>
      </c>
      <c r="B310" t="s">
        <v>42</v>
      </c>
      <c r="C310" t="s">
        <v>24</v>
      </c>
      <c r="D310">
        <f>_xlfn.XLOOKUP(C310, stage_mapping!$A$1:$A$8, stage_mapping!$B$1:$B$8)</f>
        <v>8</v>
      </c>
      <c r="E310">
        <v>5457</v>
      </c>
      <c r="F310" t="s">
        <v>11</v>
      </c>
      <c r="G310" t="s">
        <v>17</v>
      </c>
      <c r="H310" s="1">
        <v>45690</v>
      </c>
      <c r="I310" s="1">
        <v>45748</v>
      </c>
    </row>
    <row r="311" spans="1:9" x14ac:dyDescent="0.25">
      <c r="A311" t="s">
        <v>356</v>
      </c>
      <c r="B311" t="s">
        <v>39</v>
      </c>
      <c r="C311" t="s">
        <v>49</v>
      </c>
      <c r="D311">
        <f>_xlfn.XLOOKUP(C311, stage_mapping!$A$1:$A$8, stage_mapping!$B$1:$B$8)</f>
        <v>6</v>
      </c>
      <c r="E311">
        <v>41104</v>
      </c>
      <c r="F311" t="s">
        <v>28</v>
      </c>
      <c r="G311" t="s">
        <v>12</v>
      </c>
      <c r="H311" s="1">
        <v>45986</v>
      </c>
      <c r="I311" s="1"/>
    </row>
    <row r="312" spans="1:9" x14ac:dyDescent="0.25">
      <c r="A312" t="s">
        <v>357</v>
      </c>
      <c r="B312" t="s">
        <v>31</v>
      </c>
      <c r="C312" t="s">
        <v>49</v>
      </c>
      <c r="D312">
        <f>_xlfn.XLOOKUP(C312, stage_mapping!$A$1:$A$8, stage_mapping!$B$1:$B$8)</f>
        <v>6</v>
      </c>
      <c r="E312">
        <v>11234</v>
      </c>
      <c r="F312" t="s">
        <v>11</v>
      </c>
      <c r="G312" t="s">
        <v>21</v>
      </c>
      <c r="H312" s="1">
        <v>45391</v>
      </c>
      <c r="I312" s="1"/>
    </row>
    <row r="313" spans="1:9" x14ac:dyDescent="0.25">
      <c r="A313" t="s">
        <v>358</v>
      </c>
      <c r="B313" t="s">
        <v>19</v>
      </c>
      <c r="C313" t="s">
        <v>97</v>
      </c>
      <c r="D313">
        <f>_xlfn.XLOOKUP(C313, stage_mapping!$A$1:$A$8, stage_mapping!$B$1:$B$8)</f>
        <v>3</v>
      </c>
      <c r="E313">
        <v>60064</v>
      </c>
      <c r="F313" t="s">
        <v>43</v>
      </c>
      <c r="G313" t="s">
        <v>29</v>
      </c>
      <c r="H313" s="1">
        <v>45510</v>
      </c>
      <c r="I313" s="1"/>
    </row>
    <row r="314" spans="1:9" x14ac:dyDescent="0.25">
      <c r="A314" t="s">
        <v>359</v>
      </c>
      <c r="B314" t="s">
        <v>63</v>
      </c>
      <c r="C314" t="s">
        <v>53</v>
      </c>
      <c r="D314">
        <f>_xlfn.XLOOKUP(C314, stage_mapping!$A$1:$A$8, stage_mapping!$B$1:$B$8)</f>
        <v>7</v>
      </c>
      <c r="E314">
        <v>12532</v>
      </c>
      <c r="F314" t="s">
        <v>43</v>
      </c>
      <c r="G314" t="s">
        <v>17</v>
      </c>
      <c r="H314" s="1">
        <v>45790</v>
      </c>
      <c r="I314" s="1">
        <v>45832</v>
      </c>
    </row>
    <row r="315" spans="1:9" x14ac:dyDescent="0.25">
      <c r="A315" t="s">
        <v>360</v>
      </c>
      <c r="B315" t="s">
        <v>39</v>
      </c>
      <c r="C315" t="s">
        <v>24</v>
      </c>
      <c r="D315">
        <f>_xlfn.XLOOKUP(C315, stage_mapping!$A$1:$A$8, stage_mapping!$B$1:$B$8)</f>
        <v>8</v>
      </c>
      <c r="E315">
        <v>8793</v>
      </c>
      <c r="F315" t="s">
        <v>16</v>
      </c>
      <c r="G315" t="s">
        <v>12</v>
      </c>
      <c r="H315" s="1">
        <v>45600</v>
      </c>
      <c r="I315" s="1">
        <v>45629</v>
      </c>
    </row>
    <row r="316" spans="1:9" x14ac:dyDescent="0.25">
      <c r="A316" t="s">
        <v>361</v>
      </c>
      <c r="B316" t="s">
        <v>42</v>
      </c>
      <c r="C316" t="s">
        <v>24</v>
      </c>
      <c r="D316">
        <f>_xlfn.XLOOKUP(C316, stage_mapping!$A$1:$A$8, stage_mapping!$B$1:$B$8)</f>
        <v>8</v>
      </c>
      <c r="E316">
        <v>6977</v>
      </c>
      <c r="F316" t="s">
        <v>535</v>
      </c>
      <c r="G316" t="s">
        <v>17</v>
      </c>
      <c r="H316" s="1">
        <v>45472</v>
      </c>
      <c r="I316" s="1">
        <v>45547</v>
      </c>
    </row>
    <row r="317" spans="1:9" x14ac:dyDescent="0.25">
      <c r="A317" t="s">
        <v>362</v>
      </c>
      <c r="B317" t="s">
        <v>47</v>
      </c>
      <c r="C317" t="s">
        <v>15</v>
      </c>
      <c r="D317">
        <f>_xlfn.XLOOKUP(C317, stage_mapping!$A$1:$A$8, stage_mapping!$B$1:$B$8)</f>
        <v>2</v>
      </c>
      <c r="E317">
        <v>9222</v>
      </c>
      <c r="F317" t="s">
        <v>11</v>
      </c>
      <c r="G317" t="s">
        <v>17</v>
      </c>
      <c r="H317" s="1">
        <v>45885</v>
      </c>
      <c r="I317" s="1"/>
    </row>
    <row r="318" spans="1:9" x14ac:dyDescent="0.25">
      <c r="A318" t="s">
        <v>363</v>
      </c>
      <c r="B318" t="s">
        <v>37</v>
      </c>
      <c r="C318" t="s">
        <v>35</v>
      </c>
      <c r="D318">
        <f>_xlfn.XLOOKUP(C318, stage_mapping!$A$1:$A$8, stage_mapping!$B$1:$B$8)</f>
        <v>4</v>
      </c>
      <c r="E318">
        <v>15656</v>
      </c>
      <c r="F318" t="s">
        <v>11</v>
      </c>
      <c r="G318" t="s">
        <v>29</v>
      </c>
      <c r="H318" s="1">
        <v>45916</v>
      </c>
      <c r="I318" s="1"/>
    </row>
    <row r="319" spans="1:9" x14ac:dyDescent="0.25">
      <c r="A319" t="s">
        <v>364</v>
      </c>
      <c r="B319" t="s">
        <v>63</v>
      </c>
      <c r="C319" t="s">
        <v>15</v>
      </c>
      <c r="D319">
        <f>_xlfn.XLOOKUP(C319, stage_mapping!$A$1:$A$8, stage_mapping!$B$1:$B$8)</f>
        <v>2</v>
      </c>
      <c r="E319">
        <v>22761</v>
      </c>
      <c r="F319" t="s">
        <v>16</v>
      </c>
      <c r="G319" t="s">
        <v>17</v>
      </c>
      <c r="H319" s="1">
        <v>45594</v>
      </c>
      <c r="I319" s="1"/>
    </row>
    <row r="320" spans="1:9" x14ac:dyDescent="0.25">
      <c r="A320" t="s">
        <v>365</v>
      </c>
      <c r="B320" t="s">
        <v>45</v>
      </c>
      <c r="C320" t="s">
        <v>53</v>
      </c>
      <c r="D320">
        <f>_xlfn.XLOOKUP(C320, stage_mapping!$A$1:$A$8, stage_mapping!$B$1:$B$8)</f>
        <v>7</v>
      </c>
      <c r="E320">
        <v>8484</v>
      </c>
      <c r="F320" t="s">
        <v>20</v>
      </c>
      <c r="G320" t="s">
        <v>21</v>
      </c>
      <c r="H320" s="1">
        <v>45544</v>
      </c>
      <c r="I320" s="1">
        <v>45620</v>
      </c>
    </row>
    <row r="321" spans="1:9" x14ac:dyDescent="0.25">
      <c r="A321" t="s">
        <v>366</v>
      </c>
      <c r="B321" t="s">
        <v>68</v>
      </c>
      <c r="C321" t="s">
        <v>35</v>
      </c>
      <c r="D321">
        <f>_xlfn.XLOOKUP(C321, stage_mapping!$A$1:$A$8, stage_mapping!$B$1:$B$8)</f>
        <v>4</v>
      </c>
      <c r="E321">
        <v>34595</v>
      </c>
      <c r="F321" t="s">
        <v>11</v>
      </c>
      <c r="G321" t="s">
        <v>12</v>
      </c>
      <c r="H321" s="1">
        <v>46005</v>
      </c>
      <c r="I321" s="1"/>
    </row>
    <row r="322" spans="1:9" x14ac:dyDescent="0.25">
      <c r="A322" t="s">
        <v>367</v>
      </c>
      <c r="B322" t="s">
        <v>47</v>
      </c>
      <c r="C322" t="s">
        <v>35</v>
      </c>
      <c r="D322">
        <f>_xlfn.XLOOKUP(C322, stage_mapping!$A$1:$A$8, stage_mapping!$B$1:$B$8)</f>
        <v>4</v>
      </c>
      <c r="E322">
        <v>4199</v>
      </c>
      <c r="F322" t="s">
        <v>11</v>
      </c>
      <c r="G322" t="s">
        <v>17</v>
      </c>
      <c r="H322" s="1">
        <v>45889</v>
      </c>
      <c r="I322" s="1"/>
    </row>
    <row r="323" spans="1:9" x14ac:dyDescent="0.25">
      <c r="A323" t="s">
        <v>368</v>
      </c>
      <c r="B323" t="s">
        <v>19</v>
      </c>
      <c r="C323" t="s">
        <v>35</v>
      </c>
      <c r="D323">
        <f>_xlfn.XLOOKUP(C323, stage_mapping!$A$1:$A$8, stage_mapping!$B$1:$B$8)</f>
        <v>4</v>
      </c>
      <c r="E323">
        <v>39.4</v>
      </c>
      <c r="F323" t="s">
        <v>11</v>
      </c>
      <c r="G323" t="s">
        <v>12</v>
      </c>
      <c r="H323" s="1">
        <v>45919</v>
      </c>
      <c r="I323" s="1"/>
    </row>
    <row r="324" spans="1:9" x14ac:dyDescent="0.25">
      <c r="A324" t="s">
        <v>369</v>
      </c>
      <c r="B324" t="s">
        <v>19</v>
      </c>
      <c r="C324" t="s">
        <v>35</v>
      </c>
      <c r="D324">
        <f>_xlfn.XLOOKUP(C324, stage_mapping!$A$1:$A$8, stage_mapping!$B$1:$B$8)</f>
        <v>4</v>
      </c>
      <c r="E324">
        <v>21602</v>
      </c>
      <c r="F324" t="s">
        <v>11</v>
      </c>
      <c r="G324" t="s">
        <v>29</v>
      </c>
      <c r="H324" s="1">
        <v>46013</v>
      </c>
      <c r="I324" s="1"/>
    </row>
    <row r="325" spans="1:9" x14ac:dyDescent="0.25">
      <c r="A325" t="s">
        <v>370</v>
      </c>
      <c r="B325" t="s">
        <v>81</v>
      </c>
      <c r="C325" t="s">
        <v>35</v>
      </c>
      <c r="D325">
        <f>_xlfn.XLOOKUP(C325, stage_mapping!$A$1:$A$8, stage_mapping!$B$1:$B$8)</f>
        <v>4</v>
      </c>
      <c r="E325">
        <v>17736</v>
      </c>
      <c r="F325" t="s">
        <v>11</v>
      </c>
      <c r="G325" t="s">
        <v>17</v>
      </c>
      <c r="H325" s="1">
        <v>45805</v>
      </c>
      <c r="I325" s="1"/>
    </row>
    <row r="326" spans="1:9" x14ac:dyDescent="0.25">
      <c r="A326" t="s">
        <v>371</v>
      </c>
      <c r="B326" t="s">
        <v>42</v>
      </c>
      <c r="C326" t="s">
        <v>24</v>
      </c>
      <c r="D326">
        <f>_xlfn.XLOOKUP(C326, stage_mapping!$A$1:$A$8, stage_mapping!$B$1:$B$8)</f>
        <v>8</v>
      </c>
      <c r="E326">
        <v>8946</v>
      </c>
      <c r="F326" t="s">
        <v>11</v>
      </c>
      <c r="G326" t="s">
        <v>21</v>
      </c>
      <c r="H326" s="1">
        <v>45370</v>
      </c>
      <c r="I326" s="1">
        <v>45431</v>
      </c>
    </row>
    <row r="327" spans="1:9" x14ac:dyDescent="0.25">
      <c r="A327" t="s">
        <v>372</v>
      </c>
      <c r="B327" t="s">
        <v>65</v>
      </c>
      <c r="C327" t="s">
        <v>15</v>
      </c>
      <c r="D327">
        <f>_xlfn.XLOOKUP(C327, stage_mapping!$A$1:$A$8, stage_mapping!$B$1:$B$8)</f>
        <v>2</v>
      </c>
      <c r="E327">
        <v>26197</v>
      </c>
      <c r="F327" t="s">
        <v>535</v>
      </c>
      <c r="G327" t="s">
        <v>12</v>
      </c>
      <c r="H327" s="1">
        <v>45529</v>
      </c>
      <c r="I327" s="1"/>
    </row>
    <row r="328" spans="1:9" x14ac:dyDescent="0.25">
      <c r="A328" t="s">
        <v>373</v>
      </c>
      <c r="B328" t="s">
        <v>70</v>
      </c>
      <c r="C328" t="s">
        <v>35</v>
      </c>
      <c r="D328">
        <f>_xlfn.XLOOKUP(C328, stage_mapping!$A$1:$A$8, stage_mapping!$B$1:$B$8)</f>
        <v>4</v>
      </c>
      <c r="E328">
        <v>8252</v>
      </c>
      <c r="F328" t="s">
        <v>28</v>
      </c>
      <c r="G328" t="s">
        <v>21</v>
      </c>
      <c r="H328" s="1">
        <v>45524</v>
      </c>
      <c r="I328" s="1"/>
    </row>
    <row r="329" spans="1:9" x14ac:dyDescent="0.25">
      <c r="A329" t="s">
        <v>374</v>
      </c>
      <c r="B329" t="s">
        <v>27</v>
      </c>
      <c r="C329" t="s">
        <v>10</v>
      </c>
      <c r="D329">
        <f>_xlfn.XLOOKUP(C329, stage_mapping!$A$1:$A$8, stage_mapping!$B$1:$B$8)</f>
        <v>1</v>
      </c>
      <c r="E329">
        <v>12947</v>
      </c>
      <c r="F329" t="s">
        <v>20</v>
      </c>
      <c r="G329" t="s">
        <v>29</v>
      </c>
      <c r="H329" s="1">
        <v>45421</v>
      </c>
      <c r="I329" s="1"/>
    </row>
    <row r="330" spans="1:9" x14ac:dyDescent="0.25">
      <c r="A330" t="s">
        <v>375</v>
      </c>
      <c r="B330" t="s">
        <v>56</v>
      </c>
      <c r="C330" t="s">
        <v>24</v>
      </c>
      <c r="D330">
        <f>_xlfn.XLOOKUP(C330, stage_mapping!$A$1:$A$8, stage_mapping!$B$1:$B$8)</f>
        <v>8</v>
      </c>
      <c r="E330">
        <v>38.1</v>
      </c>
      <c r="F330" t="s">
        <v>535</v>
      </c>
      <c r="G330" t="s">
        <v>21</v>
      </c>
      <c r="H330" s="1">
        <v>45451</v>
      </c>
      <c r="I330" s="1">
        <v>45494</v>
      </c>
    </row>
    <row r="331" spans="1:9" x14ac:dyDescent="0.25">
      <c r="A331" t="s">
        <v>376</v>
      </c>
      <c r="B331" t="s">
        <v>45</v>
      </c>
      <c r="C331" t="s">
        <v>10</v>
      </c>
      <c r="D331">
        <f>_xlfn.XLOOKUP(C331, stage_mapping!$A$1:$A$8, stage_mapping!$B$1:$B$8)</f>
        <v>1</v>
      </c>
      <c r="E331">
        <v>5524</v>
      </c>
      <c r="F331" t="s">
        <v>20</v>
      </c>
      <c r="G331" t="s">
        <v>21</v>
      </c>
      <c r="H331" s="1">
        <v>45333</v>
      </c>
      <c r="I331" s="1"/>
    </row>
    <row r="332" spans="1:9" x14ac:dyDescent="0.25">
      <c r="A332" t="s">
        <v>377</v>
      </c>
      <c r="B332" t="s">
        <v>79</v>
      </c>
      <c r="C332" t="s">
        <v>35</v>
      </c>
      <c r="D332">
        <f>_xlfn.XLOOKUP(C332, stage_mapping!$A$1:$A$8, stage_mapping!$B$1:$B$8)</f>
        <v>4</v>
      </c>
      <c r="E332">
        <v>70756</v>
      </c>
      <c r="F332" t="s">
        <v>43</v>
      </c>
      <c r="G332" t="s">
        <v>12</v>
      </c>
      <c r="H332" s="1">
        <v>45381</v>
      </c>
      <c r="I332" s="1"/>
    </row>
    <row r="333" spans="1:9" x14ac:dyDescent="0.25">
      <c r="A333" t="s">
        <v>378</v>
      </c>
      <c r="B333" t="s">
        <v>19</v>
      </c>
      <c r="C333" t="s">
        <v>35</v>
      </c>
      <c r="D333">
        <f>_xlfn.XLOOKUP(C333, stage_mapping!$A$1:$A$8, stage_mapping!$B$1:$B$8)</f>
        <v>4</v>
      </c>
      <c r="E333">
        <v>62214</v>
      </c>
      <c r="F333" t="s">
        <v>20</v>
      </c>
      <c r="G333" t="s">
        <v>29</v>
      </c>
      <c r="H333" s="1">
        <v>45866</v>
      </c>
      <c r="I333" s="1"/>
    </row>
    <row r="334" spans="1:9" x14ac:dyDescent="0.25">
      <c r="A334" t="s">
        <v>379</v>
      </c>
      <c r="B334" t="s">
        <v>81</v>
      </c>
      <c r="C334" t="s">
        <v>10</v>
      </c>
      <c r="D334">
        <f>_xlfn.XLOOKUP(C334, stage_mapping!$A$1:$A$8, stage_mapping!$B$1:$B$8)</f>
        <v>1</v>
      </c>
      <c r="E334">
        <v>12857</v>
      </c>
      <c r="F334" t="s">
        <v>535</v>
      </c>
      <c r="G334" t="s">
        <v>17</v>
      </c>
      <c r="H334" s="1">
        <v>45571</v>
      </c>
      <c r="I334" s="1"/>
    </row>
    <row r="335" spans="1:9" x14ac:dyDescent="0.25">
      <c r="A335" t="s">
        <v>380</v>
      </c>
      <c r="B335" t="s">
        <v>68</v>
      </c>
      <c r="C335" t="s">
        <v>53</v>
      </c>
      <c r="D335">
        <f>_xlfn.XLOOKUP(C335, stage_mapping!$A$1:$A$8, stage_mapping!$B$1:$B$8)</f>
        <v>7</v>
      </c>
      <c r="E335">
        <v>18819</v>
      </c>
      <c r="F335" t="s">
        <v>20</v>
      </c>
      <c r="G335" t="s">
        <v>25</v>
      </c>
      <c r="H335" s="1">
        <v>45599</v>
      </c>
      <c r="I335" s="1">
        <v>45677</v>
      </c>
    </row>
    <row r="336" spans="1:9" x14ac:dyDescent="0.25">
      <c r="A336" t="s">
        <v>381</v>
      </c>
      <c r="B336" t="s">
        <v>65</v>
      </c>
      <c r="C336" t="s">
        <v>15</v>
      </c>
      <c r="D336">
        <f>_xlfn.XLOOKUP(C336, stage_mapping!$A$1:$A$8, stage_mapping!$B$1:$B$8)</f>
        <v>2</v>
      </c>
      <c r="E336">
        <v>23185</v>
      </c>
      <c r="F336" t="s">
        <v>16</v>
      </c>
      <c r="G336" t="s">
        <v>12</v>
      </c>
      <c r="H336" s="1">
        <v>46002</v>
      </c>
      <c r="I336" s="1"/>
    </row>
    <row r="337" spans="1:9" x14ac:dyDescent="0.25">
      <c r="A337" t="s">
        <v>382</v>
      </c>
      <c r="B337" t="s">
        <v>39</v>
      </c>
      <c r="C337" t="s">
        <v>24</v>
      </c>
      <c r="D337">
        <f>_xlfn.XLOOKUP(C337, stage_mapping!$A$1:$A$8, stage_mapping!$B$1:$B$8)</f>
        <v>8</v>
      </c>
      <c r="E337">
        <v>18720</v>
      </c>
      <c r="F337" t="s">
        <v>43</v>
      </c>
      <c r="G337" t="s">
        <v>25</v>
      </c>
      <c r="H337" s="1">
        <v>45590</v>
      </c>
      <c r="I337" s="1">
        <v>45644</v>
      </c>
    </row>
    <row r="338" spans="1:9" x14ac:dyDescent="0.25">
      <c r="A338" t="s">
        <v>383</v>
      </c>
      <c r="B338" t="s">
        <v>34</v>
      </c>
      <c r="C338" t="s">
        <v>10</v>
      </c>
      <c r="D338">
        <f>_xlfn.XLOOKUP(C338, stage_mapping!$A$1:$A$8, stage_mapping!$B$1:$B$8)</f>
        <v>1</v>
      </c>
      <c r="E338">
        <v>21688</v>
      </c>
      <c r="F338" t="s">
        <v>535</v>
      </c>
      <c r="G338" t="s">
        <v>17</v>
      </c>
      <c r="H338" s="1">
        <v>45439</v>
      </c>
      <c r="I338" s="1"/>
    </row>
    <row r="339" spans="1:9" x14ac:dyDescent="0.25">
      <c r="A339" t="s">
        <v>384</v>
      </c>
      <c r="B339" t="s">
        <v>23</v>
      </c>
      <c r="C339" t="s">
        <v>15</v>
      </c>
      <c r="D339">
        <f>_xlfn.XLOOKUP(C339, stage_mapping!$A$1:$A$8, stage_mapping!$B$1:$B$8)</f>
        <v>2</v>
      </c>
      <c r="E339">
        <v>8393</v>
      </c>
      <c r="F339" t="s">
        <v>11</v>
      </c>
      <c r="G339" t="s">
        <v>12</v>
      </c>
      <c r="H339" s="1">
        <v>45648</v>
      </c>
      <c r="I339" s="1"/>
    </row>
    <row r="340" spans="1:9" x14ac:dyDescent="0.25">
      <c r="A340" t="s">
        <v>385</v>
      </c>
      <c r="B340" t="s">
        <v>63</v>
      </c>
      <c r="C340" t="s">
        <v>15</v>
      </c>
      <c r="D340">
        <f>_xlfn.XLOOKUP(C340, stage_mapping!$A$1:$A$8, stage_mapping!$B$1:$B$8)</f>
        <v>2</v>
      </c>
      <c r="E340">
        <v>17081</v>
      </c>
      <c r="F340" t="s">
        <v>11</v>
      </c>
      <c r="G340" t="s">
        <v>17</v>
      </c>
      <c r="H340" s="1">
        <v>45999</v>
      </c>
      <c r="I340" s="1">
        <v>46065</v>
      </c>
    </row>
    <row r="341" spans="1:9" x14ac:dyDescent="0.25">
      <c r="A341" t="s">
        <v>386</v>
      </c>
      <c r="B341" t="s">
        <v>37</v>
      </c>
      <c r="C341" t="s">
        <v>53</v>
      </c>
      <c r="D341">
        <f>_xlfn.XLOOKUP(C341, stage_mapping!$A$1:$A$8, stage_mapping!$B$1:$B$8)</f>
        <v>7</v>
      </c>
      <c r="E341">
        <v>18477</v>
      </c>
      <c r="F341" t="s">
        <v>535</v>
      </c>
      <c r="G341" t="s">
        <v>29</v>
      </c>
      <c r="H341" s="1">
        <v>45502</v>
      </c>
      <c r="I341" s="1">
        <v>45557</v>
      </c>
    </row>
    <row r="342" spans="1:9" x14ac:dyDescent="0.25">
      <c r="A342" t="s">
        <v>387</v>
      </c>
      <c r="B342" t="s">
        <v>9</v>
      </c>
      <c r="C342" t="s">
        <v>53</v>
      </c>
      <c r="D342">
        <f>_xlfn.XLOOKUP(C342, stage_mapping!$A$1:$A$8, stage_mapping!$B$1:$B$8)</f>
        <v>7</v>
      </c>
      <c r="E342">
        <v>20216</v>
      </c>
      <c r="F342" t="s">
        <v>11</v>
      </c>
      <c r="G342" t="s">
        <v>12</v>
      </c>
      <c r="H342" s="1">
        <v>45833</v>
      </c>
      <c r="I342" s="1">
        <v>45885</v>
      </c>
    </row>
    <row r="343" spans="1:9" x14ac:dyDescent="0.25">
      <c r="A343" t="s">
        <v>388</v>
      </c>
      <c r="B343" t="s">
        <v>45</v>
      </c>
      <c r="C343" t="s">
        <v>15</v>
      </c>
      <c r="D343">
        <f>_xlfn.XLOOKUP(C343, stage_mapping!$A$1:$A$8, stage_mapping!$B$1:$B$8)</f>
        <v>2</v>
      </c>
      <c r="E343">
        <v>10966</v>
      </c>
      <c r="F343" t="s">
        <v>32</v>
      </c>
      <c r="G343" t="s">
        <v>21</v>
      </c>
      <c r="H343" s="1">
        <v>45680</v>
      </c>
      <c r="I343" s="1"/>
    </row>
    <row r="344" spans="1:9" x14ac:dyDescent="0.25">
      <c r="A344" t="s">
        <v>389</v>
      </c>
      <c r="B344" t="s">
        <v>37</v>
      </c>
      <c r="C344" t="s">
        <v>35</v>
      </c>
      <c r="D344">
        <f>_xlfn.XLOOKUP(C344, stage_mapping!$A$1:$A$8, stage_mapping!$B$1:$B$8)</f>
        <v>4</v>
      </c>
      <c r="E344">
        <v>50338</v>
      </c>
      <c r="F344" t="s">
        <v>16</v>
      </c>
      <c r="G344" t="s">
        <v>29</v>
      </c>
      <c r="H344" s="1">
        <v>45995</v>
      </c>
      <c r="I344" s="1"/>
    </row>
    <row r="345" spans="1:9" x14ac:dyDescent="0.25">
      <c r="A345" t="s">
        <v>390</v>
      </c>
      <c r="B345" t="s">
        <v>27</v>
      </c>
      <c r="C345" t="s">
        <v>10</v>
      </c>
      <c r="D345">
        <f>_xlfn.XLOOKUP(C345, stage_mapping!$A$1:$A$8, stage_mapping!$B$1:$B$8)</f>
        <v>1</v>
      </c>
      <c r="E345">
        <v>16028</v>
      </c>
      <c r="F345" t="s">
        <v>16</v>
      </c>
      <c r="G345" t="s">
        <v>29</v>
      </c>
      <c r="H345" s="1">
        <v>45966</v>
      </c>
      <c r="I345" s="1"/>
    </row>
    <row r="346" spans="1:9" x14ac:dyDescent="0.25">
      <c r="A346" t="s">
        <v>391</v>
      </c>
      <c r="B346" t="s">
        <v>42</v>
      </c>
      <c r="C346" t="s">
        <v>24</v>
      </c>
      <c r="D346">
        <f>_xlfn.XLOOKUP(C346, stage_mapping!$A$1:$A$8, stage_mapping!$B$1:$B$8)</f>
        <v>8</v>
      </c>
      <c r="E346">
        <v>66.5</v>
      </c>
      <c r="F346" t="s">
        <v>11</v>
      </c>
      <c r="G346" t="s">
        <v>17</v>
      </c>
      <c r="H346" s="1">
        <v>45577</v>
      </c>
      <c r="I346" s="1">
        <v>45613</v>
      </c>
    </row>
    <row r="347" spans="1:9" x14ac:dyDescent="0.25">
      <c r="A347" t="s">
        <v>392</v>
      </c>
      <c r="B347" t="s">
        <v>63</v>
      </c>
      <c r="C347" t="s">
        <v>35</v>
      </c>
      <c r="D347">
        <f>_xlfn.XLOOKUP(C347, stage_mapping!$A$1:$A$8, stage_mapping!$B$1:$B$8)</f>
        <v>4</v>
      </c>
      <c r="E347">
        <v>31939</v>
      </c>
      <c r="F347" t="s">
        <v>20</v>
      </c>
      <c r="G347" t="s">
        <v>17</v>
      </c>
      <c r="H347" s="1">
        <v>45429</v>
      </c>
      <c r="I347" s="1">
        <v>45456</v>
      </c>
    </row>
    <row r="348" spans="1:9" x14ac:dyDescent="0.25">
      <c r="A348" t="s">
        <v>393</v>
      </c>
      <c r="B348" t="s">
        <v>42</v>
      </c>
      <c r="C348" t="s">
        <v>15</v>
      </c>
      <c r="D348">
        <f>_xlfn.XLOOKUP(C348, stage_mapping!$A$1:$A$8, stage_mapping!$B$1:$B$8)</f>
        <v>2</v>
      </c>
      <c r="E348">
        <v>58615</v>
      </c>
      <c r="F348" t="s">
        <v>16</v>
      </c>
      <c r="G348" t="s">
        <v>17</v>
      </c>
      <c r="H348" s="1">
        <v>45845</v>
      </c>
      <c r="I348" s="1">
        <v>45905</v>
      </c>
    </row>
    <row r="349" spans="1:9" x14ac:dyDescent="0.25">
      <c r="A349" t="s">
        <v>394</v>
      </c>
      <c r="B349" t="s">
        <v>34</v>
      </c>
      <c r="C349" t="s">
        <v>35</v>
      </c>
      <c r="D349">
        <f>_xlfn.XLOOKUP(C349, stage_mapping!$A$1:$A$8, stage_mapping!$B$1:$B$8)</f>
        <v>4</v>
      </c>
      <c r="E349">
        <v>38110</v>
      </c>
      <c r="F349" t="s">
        <v>16</v>
      </c>
      <c r="G349" t="s">
        <v>29</v>
      </c>
      <c r="H349" s="1">
        <v>45404</v>
      </c>
      <c r="I349" s="1"/>
    </row>
    <row r="350" spans="1:9" x14ac:dyDescent="0.25">
      <c r="A350" t="s">
        <v>395</v>
      </c>
      <c r="B350" t="s">
        <v>9</v>
      </c>
      <c r="C350" t="s">
        <v>10</v>
      </c>
      <c r="D350">
        <f>_xlfn.XLOOKUP(C350, stage_mapping!$A$1:$A$8, stage_mapping!$B$1:$B$8)</f>
        <v>1</v>
      </c>
      <c r="E350">
        <v>18437</v>
      </c>
      <c r="F350" t="s">
        <v>20</v>
      </c>
      <c r="G350" t="s">
        <v>12</v>
      </c>
      <c r="H350" s="1">
        <v>45667</v>
      </c>
      <c r="I350" s="1">
        <v>45715</v>
      </c>
    </row>
    <row r="351" spans="1:9" x14ac:dyDescent="0.25">
      <c r="A351" t="s">
        <v>396</v>
      </c>
      <c r="B351" t="s">
        <v>34</v>
      </c>
      <c r="C351" t="s">
        <v>35</v>
      </c>
      <c r="D351">
        <f>_xlfn.XLOOKUP(C351, stage_mapping!$A$1:$A$8, stage_mapping!$B$1:$B$8)</f>
        <v>4</v>
      </c>
      <c r="E351">
        <v>32291</v>
      </c>
      <c r="F351" t="s">
        <v>11</v>
      </c>
      <c r="G351" t="s">
        <v>17</v>
      </c>
      <c r="H351" s="1">
        <v>45312</v>
      </c>
      <c r="I351" s="1"/>
    </row>
    <row r="352" spans="1:9" x14ac:dyDescent="0.25">
      <c r="A352" t="s">
        <v>397</v>
      </c>
      <c r="B352" t="s">
        <v>105</v>
      </c>
      <c r="C352" t="s">
        <v>53</v>
      </c>
      <c r="D352">
        <f>_xlfn.XLOOKUP(C352, stage_mapping!$A$1:$A$8, stage_mapping!$B$1:$B$8)</f>
        <v>7</v>
      </c>
      <c r="E352">
        <v>52645</v>
      </c>
      <c r="F352" t="s">
        <v>11</v>
      </c>
      <c r="G352" t="s">
        <v>29</v>
      </c>
      <c r="H352" s="1">
        <v>45806</v>
      </c>
      <c r="I352" s="1">
        <v>45840</v>
      </c>
    </row>
    <row r="353" spans="1:9" x14ac:dyDescent="0.25">
      <c r="A353" t="s">
        <v>398</v>
      </c>
      <c r="B353" t="s">
        <v>14</v>
      </c>
      <c r="C353" t="s">
        <v>24</v>
      </c>
      <c r="D353">
        <f>_xlfn.XLOOKUP(C353, stage_mapping!$A$1:$A$8, stage_mapping!$B$1:$B$8)</f>
        <v>8</v>
      </c>
      <c r="E353">
        <v>57207</v>
      </c>
      <c r="F353" t="s">
        <v>11</v>
      </c>
      <c r="G353" t="s">
        <v>17</v>
      </c>
      <c r="H353" s="1">
        <v>45523</v>
      </c>
      <c r="I353" s="1">
        <v>45577</v>
      </c>
    </row>
    <row r="354" spans="1:9" x14ac:dyDescent="0.25">
      <c r="A354" t="s">
        <v>399</v>
      </c>
      <c r="B354" t="s">
        <v>34</v>
      </c>
      <c r="C354" t="s">
        <v>35</v>
      </c>
      <c r="D354">
        <f>_xlfn.XLOOKUP(C354, stage_mapping!$A$1:$A$8, stage_mapping!$B$1:$B$8)</f>
        <v>4</v>
      </c>
      <c r="E354">
        <v>29385</v>
      </c>
      <c r="F354" t="s">
        <v>20</v>
      </c>
      <c r="G354" t="s">
        <v>17</v>
      </c>
      <c r="H354" s="1">
        <v>45819</v>
      </c>
      <c r="I354" s="1"/>
    </row>
    <row r="355" spans="1:9" x14ac:dyDescent="0.25">
      <c r="A355" t="s">
        <v>400</v>
      </c>
      <c r="B355" t="s">
        <v>79</v>
      </c>
      <c r="C355" t="s">
        <v>10</v>
      </c>
      <c r="D355">
        <f>_xlfn.XLOOKUP(C355, stage_mapping!$A$1:$A$8, stage_mapping!$B$1:$B$8)</f>
        <v>1</v>
      </c>
      <c r="E355">
        <v>17723</v>
      </c>
      <c r="F355" t="s">
        <v>535</v>
      </c>
      <c r="G355" t="s">
        <v>21</v>
      </c>
      <c r="H355" s="1">
        <v>45765</v>
      </c>
      <c r="I355" s="1"/>
    </row>
    <row r="356" spans="1:9" x14ac:dyDescent="0.25">
      <c r="A356" t="s">
        <v>401</v>
      </c>
      <c r="B356" t="s">
        <v>27</v>
      </c>
      <c r="C356" t="s">
        <v>15</v>
      </c>
      <c r="D356">
        <f>_xlfn.XLOOKUP(C356, stage_mapping!$A$1:$A$8, stage_mapping!$B$1:$B$8)</f>
        <v>2</v>
      </c>
      <c r="E356">
        <v>2500</v>
      </c>
      <c r="F356" t="s">
        <v>20</v>
      </c>
      <c r="G356" t="s">
        <v>29</v>
      </c>
      <c r="H356" s="1">
        <v>45320</v>
      </c>
      <c r="I356" s="1"/>
    </row>
    <row r="357" spans="1:9" x14ac:dyDescent="0.25">
      <c r="A357" t="s">
        <v>402</v>
      </c>
      <c r="B357" t="s">
        <v>14</v>
      </c>
      <c r="C357" t="s">
        <v>35</v>
      </c>
      <c r="D357">
        <f>_xlfn.XLOOKUP(C357, stage_mapping!$A$1:$A$8, stage_mapping!$B$1:$B$8)</f>
        <v>4</v>
      </c>
      <c r="E357">
        <v>24745</v>
      </c>
      <c r="F357" t="s">
        <v>32</v>
      </c>
      <c r="G357" t="s">
        <v>17</v>
      </c>
      <c r="H357" s="1">
        <v>45377</v>
      </c>
      <c r="I357" s="1">
        <v>45434</v>
      </c>
    </row>
    <row r="358" spans="1:9" x14ac:dyDescent="0.25">
      <c r="A358" t="s">
        <v>403</v>
      </c>
      <c r="B358" t="s">
        <v>45</v>
      </c>
      <c r="C358" t="s">
        <v>53</v>
      </c>
      <c r="D358">
        <f>_xlfn.XLOOKUP(C358, stage_mapping!$A$1:$A$8, stage_mapping!$B$1:$B$8)</f>
        <v>7</v>
      </c>
      <c r="E358">
        <v>7484</v>
      </c>
      <c r="F358" t="s">
        <v>43</v>
      </c>
      <c r="G358" t="s">
        <v>21</v>
      </c>
      <c r="H358" s="1">
        <v>45829</v>
      </c>
      <c r="I358" s="1">
        <v>45876</v>
      </c>
    </row>
    <row r="359" spans="1:9" x14ac:dyDescent="0.25">
      <c r="A359" t="s">
        <v>404</v>
      </c>
      <c r="B359" t="s">
        <v>63</v>
      </c>
      <c r="C359" t="s">
        <v>35</v>
      </c>
      <c r="D359">
        <f>_xlfn.XLOOKUP(C359, stage_mapping!$A$1:$A$8, stage_mapping!$B$1:$B$8)</f>
        <v>4</v>
      </c>
      <c r="E359">
        <v>4218</v>
      </c>
      <c r="F359" t="s">
        <v>32</v>
      </c>
      <c r="G359" t="s">
        <v>17</v>
      </c>
      <c r="H359" s="1">
        <v>45895</v>
      </c>
      <c r="I359" s="1"/>
    </row>
    <row r="360" spans="1:9" x14ac:dyDescent="0.25">
      <c r="A360" t="s">
        <v>405</v>
      </c>
      <c r="B360" t="s">
        <v>68</v>
      </c>
      <c r="C360" t="s">
        <v>24</v>
      </c>
      <c r="D360">
        <f>_xlfn.XLOOKUP(C360, stage_mapping!$A$1:$A$8, stage_mapping!$B$1:$B$8)</f>
        <v>8</v>
      </c>
      <c r="E360">
        <v>10559</v>
      </c>
      <c r="F360" t="s">
        <v>11</v>
      </c>
      <c r="G360" t="s">
        <v>12</v>
      </c>
      <c r="H360" s="1">
        <v>45970</v>
      </c>
      <c r="I360" s="1">
        <v>46016</v>
      </c>
    </row>
    <row r="361" spans="1:9" x14ac:dyDescent="0.25">
      <c r="A361" t="s">
        <v>406</v>
      </c>
      <c r="B361" t="s">
        <v>37</v>
      </c>
      <c r="C361" t="s">
        <v>24</v>
      </c>
      <c r="D361">
        <f>_xlfn.XLOOKUP(C361, stage_mapping!$A$1:$A$8, stage_mapping!$B$1:$B$8)</f>
        <v>8</v>
      </c>
      <c r="E361">
        <v>6429</v>
      </c>
      <c r="F361" t="s">
        <v>20</v>
      </c>
      <c r="G361" t="s">
        <v>29</v>
      </c>
      <c r="H361" s="1">
        <v>45938</v>
      </c>
      <c r="I361" s="1">
        <v>45979</v>
      </c>
    </row>
    <row r="362" spans="1:9" x14ac:dyDescent="0.25">
      <c r="A362" t="s">
        <v>407</v>
      </c>
      <c r="B362" t="s">
        <v>105</v>
      </c>
      <c r="C362" t="s">
        <v>53</v>
      </c>
      <c r="D362">
        <f>_xlfn.XLOOKUP(C362, stage_mapping!$A$1:$A$8, stage_mapping!$B$1:$B$8)</f>
        <v>7</v>
      </c>
      <c r="E362">
        <v>15841</v>
      </c>
      <c r="F362" t="s">
        <v>28</v>
      </c>
      <c r="G362" t="s">
        <v>29</v>
      </c>
      <c r="H362" s="1">
        <v>45652</v>
      </c>
      <c r="I362" s="1">
        <v>45688</v>
      </c>
    </row>
    <row r="363" spans="1:9" x14ac:dyDescent="0.25">
      <c r="A363" t="s">
        <v>408</v>
      </c>
      <c r="B363" t="s">
        <v>42</v>
      </c>
      <c r="C363" t="s">
        <v>10</v>
      </c>
      <c r="D363">
        <f>_xlfn.XLOOKUP(C363, stage_mapping!$A$1:$A$8, stage_mapping!$B$1:$B$8)</f>
        <v>1</v>
      </c>
      <c r="E363">
        <v>44863</v>
      </c>
      <c r="F363" t="s">
        <v>43</v>
      </c>
      <c r="G363" t="s">
        <v>17</v>
      </c>
      <c r="H363" s="1">
        <v>46022</v>
      </c>
      <c r="I363" s="1"/>
    </row>
    <row r="364" spans="1:9" x14ac:dyDescent="0.25">
      <c r="A364" t="s">
        <v>409</v>
      </c>
      <c r="B364" t="s">
        <v>23</v>
      </c>
      <c r="C364" t="s">
        <v>24</v>
      </c>
      <c r="D364">
        <f>_xlfn.XLOOKUP(C364, stage_mapping!$A$1:$A$8, stage_mapping!$B$1:$B$8)</f>
        <v>8</v>
      </c>
      <c r="E364">
        <v>18878</v>
      </c>
      <c r="F364" t="s">
        <v>28</v>
      </c>
      <c r="G364" t="s">
        <v>25</v>
      </c>
      <c r="H364" s="1">
        <v>45521</v>
      </c>
      <c r="I364" s="1">
        <v>45585</v>
      </c>
    </row>
    <row r="365" spans="1:9" x14ac:dyDescent="0.25">
      <c r="A365" t="s">
        <v>410</v>
      </c>
      <c r="B365" t="s">
        <v>63</v>
      </c>
      <c r="C365" t="s">
        <v>49</v>
      </c>
      <c r="D365">
        <f>_xlfn.XLOOKUP(C365, stage_mapping!$A$1:$A$8, stage_mapping!$B$1:$B$8)</f>
        <v>6</v>
      </c>
      <c r="E365">
        <v>4523</v>
      </c>
      <c r="F365" t="s">
        <v>11</v>
      </c>
      <c r="G365" t="s">
        <v>17</v>
      </c>
      <c r="H365" s="1">
        <v>45830</v>
      </c>
      <c r="I365" s="1"/>
    </row>
    <row r="366" spans="1:9" x14ac:dyDescent="0.25">
      <c r="A366" t="s">
        <v>411</v>
      </c>
      <c r="B366" t="s">
        <v>19</v>
      </c>
      <c r="C366" t="s">
        <v>24</v>
      </c>
      <c r="D366">
        <f>_xlfn.XLOOKUP(C366, stage_mapping!$A$1:$A$8, stage_mapping!$B$1:$B$8)</f>
        <v>8</v>
      </c>
      <c r="E366">
        <v>17471</v>
      </c>
      <c r="F366" t="s">
        <v>43</v>
      </c>
      <c r="G366" t="s">
        <v>29</v>
      </c>
      <c r="H366" s="1">
        <v>45985</v>
      </c>
      <c r="I366" s="1">
        <v>46057</v>
      </c>
    </row>
    <row r="367" spans="1:9" x14ac:dyDescent="0.25">
      <c r="A367" t="s">
        <v>412</v>
      </c>
      <c r="B367" t="s">
        <v>68</v>
      </c>
      <c r="C367" t="s">
        <v>35</v>
      </c>
      <c r="D367">
        <f>_xlfn.XLOOKUP(C367, stage_mapping!$A$1:$A$8, stage_mapping!$B$1:$B$8)</f>
        <v>4</v>
      </c>
      <c r="E367">
        <v>48800</v>
      </c>
      <c r="F367" t="s">
        <v>32</v>
      </c>
      <c r="G367" t="s">
        <v>12</v>
      </c>
      <c r="H367" s="1">
        <v>45684</v>
      </c>
      <c r="I367" s="1"/>
    </row>
    <row r="368" spans="1:9" x14ac:dyDescent="0.25">
      <c r="A368" t="s">
        <v>413</v>
      </c>
      <c r="B368" t="s">
        <v>47</v>
      </c>
      <c r="C368" t="s">
        <v>24</v>
      </c>
      <c r="D368">
        <f>_xlfn.XLOOKUP(C368, stage_mapping!$A$1:$A$8, stage_mapping!$B$1:$B$8)</f>
        <v>8</v>
      </c>
      <c r="E368">
        <v>14359</v>
      </c>
      <c r="F368" t="s">
        <v>16</v>
      </c>
      <c r="G368" t="s">
        <v>17</v>
      </c>
      <c r="H368" s="1">
        <v>45427</v>
      </c>
      <c r="I368" s="1">
        <v>45492</v>
      </c>
    </row>
    <row r="369" spans="1:9" x14ac:dyDescent="0.25">
      <c r="A369" t="s">
        <v>414</v>
      </c>
      <c r="B369" t="s">
        <v>56</v>
      </c>
      <c r="C369" t="s">
        <v>24</v>
      </c>
      <c r="D369">
        <f>_xlfn.XLOOKUP(C369, stage_mapping!$A$1:$A$8, stage_mapping!$B$1:$B$8)</f>
        <v>8</v>
      </c>
      <c r="E369">
        <v>36752</v>
      </c>
      <c r="F369" t="s">
        <v>16</v>
      </c>
      <c r="G369" t="s">
        <v>17</v>
      </c>
      <c r="H369" s="1">
        <v>45661</v>
      </c>
      <c r="I369" s="1">
        <v>45756</v>
      </c>
    </row>
    <row r="370" spans="1:9" x14ac:dyDescent="0.25">
      <c r="A370" t="s">
        <v>415</v>
      </c>
      <c r="B370" t="s">
        <v>14</v>
      </c>
      <c r="C370" t="s">
        <v>10</v>
      </c>
      <c r="D370">
        <f>_xlfn.XLOOKUP(C370, stage_mapping!$A$1:$A$8, stage_mapping!$B$1:$B$8)</f>
        <v>1</v>
      </c>
      <c r="E370">
        <v>11561</v>
      </c>
      <c r="F370" t="s">
        <v>11</v>
      </c>
      <c r="G370" t="s">
        <v>21</v>
      </c>
      <c r="H370" s="1">
        <v>45773</v>
      </c>
      <c r="I370" s="1"/>
    </row>
    <row r="371" spans="1:9" x14ac:dyDescent="0.25">
      <c r="A371" t="s">
        <v>416</v>
      </c>
      <c r="B371" t="s">
        <v>63</v>
      </c>
      <c r="C371" t="s">
        <v>97</v>
      </c>
      <c r="D371">
        <f>_xlfn.XLOOKUP(C371, stage_mapping!$A$1:$A$8, stage_mapping!$B$1:$B$8)</f>
        <v>3</v>
      </c>
      <c r="E371">
        <v>35177</v>
      </c>
      <c r="F371" t="s">
        <v>20</v>
      </c>
      <c r="G371" t="s">
        <v>17</v>
      </c>
      <c r="H371" s="1">
        <v>45812</v>
      </c>
      <c r="I371" s="1"/>
    </row>
    <row r="372" spans="1:9" x14ac:dyDescent="0.25">
      <c r="A372" t="s">
        <v>417</v>
      </c>
      <c r="B372" t="s">
        <v>56</v>
      </c>
      <c r="C372" t="s">
        <v>53</v>
      </c>
      <c r="D372">
        <f>_xlfn.XLOOKUP(C372, stage_mapping!$A$1:$A$8, stage_mapping!$B$1:$B$8)</f>
        <v>7</v>
      </c>
      <c r="E372">
        <v>13024</v>
      </c>
      <c r="F372" t="s">
        <v>535</v>
      </c>
      <c r="G372" t="s">
        <v>17</v>
      </c>
      <c r="H372" s="1">
        <v>45896</v>
      </c>
      <c r="I372" s="1">
        <v>45929</v>
      </c>
    </row>
    <row r="373" spans="1:9" x14ac:dyDescent="0.25">
      <c r="A373" t="s">
        <v>418</v>
      </c>
      <c r="B373" t="s">
        <v>9</v>
      </c>
      <c r="C373" t="s">
        <v>24</v>
      </c>
      <c r="D373">
        <f>_xlfn.XLOOKUP(C373, stage_mapping!$A$1:$A$8, stage_mapping!$B$1:$B$8)</f>
        <v>8</v>
      </c>
      <c r="E373">
        <v>43.9</v>
      </c>
      <c r="F373" t="s">
        <v>32</v>
      </c>
      <c r="G373" t="s">
        <v>12</v>
      </c>
      <c r="H373" s="1">
        <v>45424</v>
      </c>
      <c r="I373" s="1">
        <v>45503</v>
      </c>
    </row>
    <row r="374" spans="1:9" x14ac:dyDescent="0.25">
      <c r="A374" t="s">
        <v>419</v>
      </c>
      <c r="B374" t="s">
        <v>42</v>
      </c>
      <c r="C374" t="s">
        <v>53</v>
      </c>
      <c r="D374">
        <f>_xlfn.XLOOKUP(C374, stage_mapping!$A$1:$A$8, stage_mapping!$B$1:$B$8)</f>
        <v>7</v>
      </c>
      <c r="E374">
        <v>6134</v>
      </c>
      <c r="F374" t="s">
        <v>20</v>
      </c>
      <c r="G374" t="s">
        <v>17</v>
      </c>
      <c r="H374" s="1">
        <v>45415</v>
      </c>
      <c r="I374" s="1">
        <v>45476</v>
      </c>
    </row>
    <row r="375" spans="1:9" x14ac:dyDescent="0.25">
      <c r="A375" t="s">
        <v>420</v>
      </c>
      <c r="B375" t="s">
        <v>68</v>
      </c>
      <c r="C375" t="s">
        <v>49</v>
      </c>
      <c r="D375">
        <f>_xlfn.XLOOKUP(C375, stage_mapping!$A$1:$A$8, stage_mapping!$B$1:$B$8)</f>
        <v>6</v>
      </c>
      <c r="E375">
        <v>47350</v>
      </c>
      <c r="F375" t="s">
        <v>16</v>
      </c>
      <c r="G375" t="s">
        <v>25</v>
      </c>
      <c r="H375" s="1">
        <v>45724</v>
      </c>
      <c r="I375" s="1"/>
    </row>
    <row r="376" spans="1:9" x14ac:dyDescent="0.25">
      <c r="A376" t="s">
        <v>421</v>
      </c>
      <c r="B376" t="s">
        <v>81</v>
      </c>
      <c r="C376" t="s">
        <v>35</v>
      </c>
      <c r="D376">
        <f>_xlfn.XLOOKUP(C376, stage_mapping!$A$1:$A$8, stage_mapping!$B$1:$B$8)</f>
        <v>4</v>
      </c>
      <c r="E376">
        <v>23464</v>
      </c>
      <c r="F376" t="s">
        <v>11</v>
      </c>
      <c r="G376" t="s">
        <v>17</v>
      </c>
      <c r="H376" s="1">
        <v>45781</v>
      </c>
      <c r="I376" s="1"/>
    </row>
    <row r="377" spans="1:9" x14ac:dyDescent="0.25">
      <c r="A377" t="s">
        <v>422</v>
      </c>
      <c r="B377" t="s">
        <v>70</v>
      </c>
      <c r="C377" t="s">
        <v>35</v>
      </c>
      <c r="D377">
        <f>_xlfn.XLOOKUP(C377, stage_mapping!$A$1:$A$8, stage_mapping!$B$1:$B$8)</f>
        <v>4</v>
      </c>
      <c r="E377">
        <v>12786</v>
      </c>
      <c r="F377" t="s">
        <v>28</v>
      </c>
      <c r="G377" t="s">
        <v>21</v>
      </c>
      <c r="H377" s="1">
        <v>45807</v>
      </c>
      <c r="I377" s="1"/>
    </row>
    <row r="378" spans="1:9" x14ac:dyDescent="0.25">
      <c r="A378" t="s">
        <v>423</v>
      </c>
      <c r="B378" t="s">
        <v>105</v>
      </c>
      <c r="C378" t="s">
        <v>53</v>
      </c>
      <c r="D378">
        <f>_xlfn.XLOOKUP(C378, stage_mapping!$A$1:$A$8, stage_mapping!$B$1:$B$8)</f>
        <v>7</v>
      </c>
      <c r="E378">
        <v>6195</v>
      </c>
      <c r="F378" t="s">
        <v>11</v>
      </c>
      <c r="G378" t="s">
        <v>29</v>
      </c>
      <c r="H378" s="1">
        <v>45981</v>
      </c>
      <c r="I378" s="1">
        <v>46051</v>
      </c>
    </row>
    <row r="379" spans="1:9" x14ac:dyDescent="0.25">
      <c r="A379" t="s">
        <v>424</v>
      </c>
      <c r="B379" t="s">
        <v>9</v>
      </c>
      <c r="C379" t="s">
        <v>53</v>
      </c>
      <c r="D379">
        <f>_xlfn.XLOOKUP(C379, stage_mapping!$A$1:$A$8, stage_mapping!$B$1:$B$8)</f>
        <v>7</v>
      </c>
      <c r="E379">
        <v>38970</v>
      </c>
      <c r="F379" t="s">
        <v>535</v>
      </c>
      <c r="G379" t="s">
        <v>12</v>
      </c>
      <c r="H379" s="1">
        <v>45601</v>
      </c>
      <c r="I379" s="1">
        <v>45659</v>
      </c>
    </row>
    <row r="380" spans="1:9" x14ac:dyDescent="0.25">
      <c r="A380" t="s">
        <v>425</v>
      </c>
      <c r="B380" t="s">
        <v>37</v>
      </c>
      <c r="C380" t="s">
        <v>35</v>
      </c>
      <c r="D380">
        <f>_xlfn.XLOOKUP(C380, stage_mapping!$A$1:$A$8, stage_mapping!$B$1:$B$8)</f>
        <v>4</v>
      </c>
      <c r="E380">
        <v>28674</v>
      </c>
      <c r="F380" t="s">
        <v>11</v>
      </c>
      <c r="G380" t="s">
        <v>29</v>
      </c>
      <c r="H380" s="1">
        <v>45448</v>
      </c>
      <c r="I380" s="1"/>
    </row>
    <row r="381" spans="1:9" x14ac:dyDescent="0.25">
      <c r="A381" t="s">
        <v>426</v>
      </c>
      <c r="B381" t="s">
        <v>56</v>
      </c>
      <c r="C381" t="s">
        <v>35</v>
      </c>
      <c r="D381">
        <f>_xlfn.XLOOKUP(C381, stage_mapping!$A$1:$A$8, stage_mapping!$B$1:$B$8)</f>
        <v>4</v>
      </c>
      <c r="E381">
        <v>23303</v>
      </c>
      <c r="F381" t="s">
        <v>16</v>
      </c>
      <c r="G381" t="s">
        <v>17</v>
      </c>
      <c r="H381" s="1">
        <v>45884</v>
      </c>
      <c r="I381" s="1"/>
    </row>
    <row r="382" spans="1:9" x14ac:dyDescent="0.25">
      <c r="A382" t="s">
        <v>427</v>
      </c>
      <c r="B382" t="s">
        <v>39</v>
      </c>
      <c r="C382" t="s">
        <v>49</v>
      </c>
      <c r="D382">
        <f>_xlfn.XLOOKUP(C382, stage_mapping!$A$1:$A$8, stage_mapping!$B$1:$B$8)</f>
        <v>6</v>
      </c>
      <c r="E382">
        <v>8866</v>
      </c>
      <c r="F382" t="s">
        <v>43</v>
      </c>
      <c r="G382" t="s">
        <v>25</v>
      </c>
      <c r="H382" s="1">
        <v>45955</v>
      </c>
      <c r="I382" s="1"/>
    </row>
    <row r="383" spans="1:9" x14ac:dyDescent="0.25">
      <c r="A383" t="s">
        <v>428</v>
      </c>
      <c r="B383" t="s">
        <v>81</v>
      </c>
      <c r="C383" t="s">
        <v>71</v>
      </c>
      <c r="D383">
        <f>_xlfn.XLOOKUP(C383, stage_mapping!$A$1:$A$8, stage_mapping!$B$1:$B$8)</f>
        <v>5</v>
      </c>
      <c r="E383">
        <v>14969</v>
      </c>
      <c r="F383" t="s">
        <v>20</v>
      </c>
      <c r="G383" t="s">
        <v>17</v>
      </c>
      <c r="H383" s="1">
        <v>45964</v>
      </c>
      <c r="I383" s="1"/>
    </row>
    <row r="384" spans="1:9" x14ac:dyDescent="0.25">
      <c r="A384" t="s">
        <v>429</v>
      </c>
      <c r="B384" t="s">
        <v>9</v>
      </c>
      <c r="C384" t="s">
        <v>49</v>
      </c>
      <c r="D384">
        <f>_xlfn.XLOOKUP(C384, stage_mapping!$A$1:$A$8, stage_mapping!$B$1:$B$8)</f>
        <v>6</v>
      </c>
      <c r="E384">
        <v>12.9</v>
      </c>
      <c r="F384" t="s">
        <v>535</v>
      </c>
      <c r="G384" t="s">
        <v>12</v>
      </c>
      <c r="H384" s="1">
        <v>45496</v>
      </c>
      <c r="I384" s="1"/>
    </row>
    <row r="385" spans="1:9" x14ac:dyDescent="0.25">
      <c r="A385" t="s">
        <v>430</v>
      </c>
      <c r="B385" t="s">
        <v>27</v>
      </c>
      <c r="C385" t="s">
        <v>10</v>
      </c>
      <c r="D385">
        <f>_xlfn.XLOOKUP(C385, stage_mapping!$A$1:$A$8, stage_mapping!$B$1:$B$8)</f>
        <v>1</v>
      </c>
      <c r="E385">
        <v>5658</v>
      </c>
      <c r="F385" t="s">
        <v>11</v>
      </c>
      <c r="G385" t="s">
        <v>29</v>
      </c>
      <c r="H385" s="1">
        <v>45924</v>
      </c>
      <c r="I385" s="1"/>
    </row>
    <row r="386" spans="1:9" x14ac:dyDescent="0.25">
      <c r="A386" t="s">
        <v>431</v>
      </c>
      <c r="B386" t="s">
        <v>39</v>
      </c>
      <c r="C386" t="s">
        <v>53</v>
      </c>
      <c r="D386">
        <f>_xlfn.XLOOKUP(C386, stage_mapping!$A$1:$A$8, stage_mapping!$B$1:$B$8)</f>
        <v>7</v>
      </c>
      <c r="E386">
        <v>33527</v>
      </c>
      <c r="F386" t="s">
        <v>32</v>
      </c>
      <c r="G386" t="s">
        <v>21</v>
      </c>
      <c r="H386" s="1">
        <v>45917</v>
      </c>
      <c r="I386" s="1">
        <v>46000</v>
      </c>
    </row>
    <row r="387" spans="1:9" x14ac:dyDescent="0.25">
      <c r="A387" t="s">
        <v>432</v>
      </c>
      <c r="B387" t="s">
        <v>81</v>
      </c>
      <c r="C387" t="s">
        <v>35</v>
      </c>
      <c r="D387">
        <f>_xlfn.XLOOKUP(C387, stage_mapping!$A$1:$A$8, stage_mapping!$B$1:$B$8)</f>
        <v>4</v>
      </c>
      <c r="E387">
        <v>36069</v>
      </c>
      <c r="F387" t="s">
        <v>11</v>
      </c>
      <c r="G387" t="s">
        <v>17</v>
      </c>
      <c r="H387" s="1">
        <v>45417</v>
      </c>
      <c r="I387" s="1"/>
    </row>
    <row r="388" spans="1:9" x14ac:dyDescent="0.25">
      <c r="A388" t="s">
        <v>433</v>
      </c>
      <c r="B388" t="s">
        <v>65</v>
      </c>
      <c r="C388" t="s">
        <v>53</v>
      </c>
      <c r="D388">
        <f>_xlfn.XLOOKUP(C388, stage_mapping!$A$1:$A$8, stage_mapping!$B$1:$B$8)</f>
        <v>7</v>
      </c>
      <c r="E388">
        <v>5592</v>
      </c>
      <c r="F388" t="s">
        <v>11</v>
      </c>
      <c r="G388" t="s">
        <v>12</v>
      </c>
      <c r="H388" s="1">
        <v>45525</v>
      </c>
      <c r="I388" s="1">
        <v>45602</v>
      </c>
    </row>
    <row r="389" spans="1:9" x14ac:dyDescent="0.25">
      <c r="A389" t="s">
        <v>434</v>
      </c>
      <c r="B389" t="s">
        <v>47</v>
      </c>
      <c r="C389" t="s">
        <v>10</v>
      </c>
      <c r="D389">
        <f>_xlfn.XLOOKUP(C389, stage_mapping!$A$1:$A$8, stage_mapping!$B$1:$B$8)</f>
        <v>1</v>
      </c>
      <c r="E389">
        <v>11612</v>
      </c>
      <c r="F389" t="s">
        <v>32</v>
      </c>
      <c r="G389" t="s">
        <v>17</v>
      </c>
      <c r="H389" s="1">
        <v>45460</v>
      </c>
      <c r="I389" s="1">
        <v>45484</v>
      </c>
    </row>
    <row r="390" spans="1:9" x14ac:dyDescent="0.25">
      <c r="A390" t="s">
        <v>435</v>
      </c>
      <c r="B390" t="s">
        <v>19</v>
      </c>
      <c r="C390" t="s">
        <v>24</v>
      </c>
      <c r="D390">
        <f>_xlfn.XLOOKUP(C390, stage_mapping!$A$1:$A$8, stage_mapping!$B$1:$B$8)</f>
        <v>8</v>
      </c>
      <c r="E390">
        <v>100120</v>
      </c>
      <c r="F390" t="s">
        <v>535</v>
      </c>
      <c r="G390" t="s">
        <v>12</v>
      </c>
      <c r="H390" s="1">
        <v>45578</v>
      </c>
      <c r="I390" s="1">
        <v>45664</v>
      </c>
    </row>
    <row r="391" spans="1:9" x14ac:dyDescent="0.25">
      <c r="A391" t="s">
        <v>436</v>
      </c>
      <c r="B391" t="s">
        <v>19</v>
      </c>
      <c r="C391" t="s">
        <v>35</v>
      </c>
      <c r="D391">
        <f>_xlfn.XLOOKUP(C391, stage_mapping!$A$1:$A$8, stage_mapping!$B$1:$B$8)</f>
        <v>4</v>
      </c>
      <c r="E391">
        <v>32473</v>
      </c>
      <c r="F391" t="s">
        <v>11</v>
      </c>
      <c r="G391" t="s">
        <v>12</v>
      </c>
      <c r="H391" s="1">
        <v>45421</v>
      </c>
      <c r="I391" s="1"/>
    </row>
    <row r="392" spans="1:9" x14ac:dyDescent="0.25">
      <c r="A392" t="s">
        <v>437</v>
      </c>
      <c r="B392" t="s">
        <v>31</v>
      </c>
      <c r="C392" t="s">
        <v>35</v>
      </c>
      <c r="D392">
        <f>_xlfn.XLOOKUP(C392, stage_mapping!$A$1:$A$8, stage_mapping!$B$1:$B$8)</f>
        <v>4</v>
      </c>
      <c r="E392">
        <v>7014</v>
      </c>
      <c r="F392" t="s">
        <v>16</v>
      </c>
      <c r="G392" t="s">
        <v>12</v>
      </c>
      <c r="H392" s="1">
        <v>45673</v>
      </c>
      <c r="I392" s="1"/>
    </row>
    <row r="393" spans="1:9" x14ac:dyDescent="0.25">
      <c r="A393" t="s">
        <v>438</v>
      </c>
      <c r="B393" t="s">
        <v>65</v>
      </c>
      <c r="C393" t="s">
        <v>53</v>
      </c>
      <c r="D393">
        <f>_xlfn.XLOOKUP(C393, stage_mapping!$A$1:$A$8, stage_mapping!$B$1:$B$8)</f>
        <v>7</v>
      </c>
      <c r="E393">
        <v>16252</v>
      </c>
      <c r="F393" t="s">
        <v>28</v>
      </c>
      <c r="G393" t="s">
        <v>12</v>
      </c>
      <c r="H393" s="1">
        <v>45678</v>
      </c>
      <c r="I393" s="1">
        <v>45756</v>
      </c>
    </row>
    <row r="394" spans="1:9" x14ac:dyDescent="0.25">
      <c r="A394" t="s">
        <v>439</v>
      </c>
      <c r="B394" t="s">
        <v>37</v>
      </c>
      <c r="C394" t="s">
        <v>35</v>
      </c>
      <c r="D394">
        <f>_xlfn.XLOOKUP(C394, stage_mapping!$A$1:$A$8, stage_mapping!$B$1:$B$8)</f>
        <v>4</v>
      </c>
      <c r="E394">
        <v>32.1</v>
      </c>
      <c r="F394" t="s">
        <v>28</v>
      </c>
      <c r="G394" t="s">
        <v>29</v>
      </c>
      <c r="H394" s="1">
        <v>45670</v>
      </c>
      <c r="I394" s="1"/>
    </row>
    <row r="395" spans="1:9" x14ac:dyDescent="0.25">
      <c r="A395" t="s">
        <v>440</v>
      </c>
      <c r="B395" t="s">
        <v>27</v>
      </c>
      <c r="C395" t="s">
        <v>35</v>
      </c>
      <c r="D395">
        <f>_xlfn.XLOOKUP(C395, stage_mapping!$A$1:$A$8, stage_mapping!$B$1:$B$8)</f>
        <v>4</v>
      </c>
      <c r="E395">
        <v>20.7</v>
      </c>
      <c r="F395" t="s">
        <v>16</v>
      </c>
      <c r="G395" t="s">
        <v>29</v>
      </c>
      <c r="H395" s="1">
        <v>45817</v>
      </c>
      <c r="I395" s="1"/>
    </row>
    <row r="396" spans="1:9" x14ac:dyDescent="0.25">
      <c r="A396" t="s">
        <v>441</v>
      </c>
      <c r="B396" t="s">
        <v>56</v>
      </c>
      <c r="C396" t="s">
        <v>15</v>
      </c>
      <c r="D396">
        <f>_xlfn.XLOOKUP(C396, stage_mapping!$A$1:$A$8, stage_mapping!$B$1:$B$8)</f>
        <v>2</v>
      </c>
      <c r="E396">
        <v>10799</v>
      </c>
      <c r="F396" t="s">
        <v>11</v>
      </c>
      <c r="G396" t="s">
        <v>17</v>
      </c>
      <c r="H396" s="1">
        <v>45675</v>
      </c>
      <c r="I396" s="1"/>
    </row>
    <row r="397" spans="1:9" x14ac:dyDescent="0.25">
      <c r="A397" t="s">
        <v>442</v>
      </c>
      <c r="B397" t="s">
        <v>14</v>
      </c>
      <c r="C397" t="s">
        <v>49</v>
      </c>
      <c r="D397">
        <f>_xlfn.XLOOKUP(C397, stage_mapping!$A$1:$A$8, stage_mapping!$B$1:$B$8)</f>
        <v>6</v>
      </c>
      <c r="E397">
        <v>61682</v>
      </c>
      <c r="F397" t="s">
        <v>16</v>
      </c>
      <c r="G397" t="s">
        <v>17</v>
      </c>
      <c r="H397" s="1">
        <v>45637</v>
      </c>
      <c r="I397" s="1"/>
    </row>
    <row r="398" spans="1:9" x14ac:dyDescent="0.25">
      <c r="A398" t="s">
        <v>443</v>
      </c>
      <c r="B398" t="s">
        <v>37</v>
      </c>
      <c r="C398" t="s">
        <v>35</v>
      </c>
      <c r="D398">
        <f>_xlfn.XLOOKUP(C398, stage_mapping!$A$1:$A$8, stage_mapping!$B$1:$B$8)</f>
        <v>4</v>
      </c>
      <c r="E398">
        <v>76504</v>
      </c>
      <c r="F398" t="s">
        <v>20</v>
      </c>
      <c r="G398" t="s">
        <v>21</v>
      </c>
      <c r="H398" s="1">
        <v>45978</v>
      </c>
      <c r="I398" s="1"/>
    </row>
    <row r="399" spans="1:9" x14ac:dyDescent="0.25">
      <c r="A399" t="s">
        <v>444</v>
      </c>
      <c r="B399" t="s">
        <v>45</v>
      </c>
      <c r="C399" t="s">
        <v>10</v>
      </c>
      <c r="D399">
        <f>_xlfn.XLOOKUP(C399, stage_mapping!$A$1:$A$8, stage_mapping!$B$1:$B$8)</f>
        <v>1</v>
      </c>
      <c r="E399">
        <v>16902</v>
      </c>
      <c r="F399" t="s">
        <v>43</v>
      </c>
      <c r="G399" t="s">
        <v>21</v>
      </c>
      <c r="H399" s="1">
        <v>45836</v>
      </c>
      <c r="I399" s="1"/>
    </row>
    <row r="400" spans="1:9" x14ac:dyDescent="0.25">
      <c r="A400" t="s">
        <v>445</v>
      </c>
      <c r="B400" t="s">
        <v>27</v>
      </c>
      <c r="C400" t="s">
        <v>15</v>
      </c>
      <c r="D400">
        <f>_xlfn.XLOOKUP(C400, stage_mapping!$A$1:$A$8, stage_mapping!$B$1:$B$8)</f>
        <v>2</v>
      </c>
      <c r="E400">
        <v>15544</v>
      </c>
      <c r="F400" t="s">
        <v>20</v>
      </c>
      <c r="G400" t="s">
        <v>29</v>
      </c>
      <c r="H400" s="1">
        <v>45393</v>
      </c>
      <c r="I400" s="1"/>
    </row>
    <row r="401" spans="1:9" x14ac:dyDescent="0.25">
      <c r="A401" t="s">
        <v>446</v>
      </c>
      <c r="B401" t="s">
        <v>39</v>
      </c>
      <c r="C401" t="s">
        <v>35</v>
      </c>
      <c r="D401">
        <f>_xlfn.XLOOKUP(C401, stage_mapping!$A$1:$A$8, stage_mapping!$B$1:$B$8)</f>
        <v>4</v>
      </c>
      <c r="E401">
        <v>7140</v>
      </c>
      <c r="F401" t="s">
        <v>20</v>
      </c>
      <c r="G401" t="s">
        <v>12</v>
      </c>
      <c r="H401" s="1">
        <v>45676</v>
      </c>
      <c r="I401" s="1"/>
    </row>
    <row r="402" spans="1:9" x14ac:dyDescent="0.25">
      <c r="A402" t="s">
        <v>447</v>
      </c>
      <c r="B402" t="s">
        <v>37</v>
      </c>
      <c r="C402" t="s">
        <v>24</v>
      </c>
      <c r="D402">
        <f>_xlfn.XLOOKUP(C402, stage_mapping!$A$1:$A$8, stage_mapping!$B$1:$B$8)</f>
        <v>8</v>
      </c>
      <c r="E402">
        <v>7719</v>
      </c>
      <c r="F402" t="s">
        <v>43</v>
      </c>
      <c r="G402" t="s">
        <v>29</v>
      </c>
      <c r="H402" s="1">
        <v>45859</v>
      </c>
      <c r="I402" s="1">
        <v>45934</v>
      </c>
    </row>
    <row r="403" spans="1:9" x14ac:dyDescent="0.25">
      <c r="A403" t="s">
        <v>448</v>
      </c>
      <c r="B403" t="s">
        <v>31</v>
      </c>
      <c r="C403" t="s">
        <v>49</v>
      </c>
      <c r="D403">
        <f>_xlfn.XLOOKUP(C403, stage_mapping!$A$1:$A$8, stage_mapping!$B$1:$B$8)</f>
        <v>6</v>
      </c>
      <c r="E403">
        <v>16498</v>
      </c>
      <c r="F403" t="s">
        <v>32</v>
      </c>
      <c r="G403" t="s">
        <v>21</v>
      </c>
      <c r="H403" s="1">
        <v>45767</v>
      </c>
      <c r="I403" s="1">
        <v>45833</v>
      </c>
    </row>
    <row r="404" spans="1:9" x14ac:dyDescent="0.25">
      <c r="A404" t="s">
        <v>449</v>
      </c>
      <c r="B404" t="s">
        <v>14</v>
      </c>
      <c r="C404" t="s">
        <v>53</v>
      </c>
      <c r="D404">
        <f>_xlfn.XLOOKUP(C404, stage_mapping!$A$1:$A$8, stage_mapping!$B$1:$B$8)</f>
        <v>7</v>
      </c>
      <c r="E404">
        <v>15.3</v>
      </c>
      <c r="F404" t="s">
        <v>11</v>
      </c>
      <c r="G404" t="s">
        <v>17</v>
      </c>
      <c r="H404" s="1">
        <v>45861</v>
      </c>
      <c r="I404" s="1">
        <v>45898</v>
      </c>
    </row>
    <row r="405" spans="1:9" x14ac:dyDescent="0.25">
      <c r="A405" t="s">
        <v>450</v>
      </c>
      <c r="B405" t="s">
        <v>105</v>
      </c>
      <c r="C405" t="s">
        <v>35</v>
      </c>
      <c r="D405">
        <f>_xlfn.XLOOKUP(C405, stage_mapping!$A$1:$A$8, stage_mapping!$B$1:$B$8)</f>
        <v>4</v>
      </c>
      <c r="E405">
        <v>14199</v>
      </c>
      <c r="F405" t="s">
        <v>32</v>
      </c>
      <c r="G405" t="s">
        <v>29</v>
      </c>
      <c r="H405" s="1">
        <v>45428</v>
      </c>
      <c r="I405" s="1"/>
    </row>
    <row r="406" spans="1:9" x14ac:dyDescent="0.25">
      <c r="A406" t="s">
        <v>451</v>
      </c>
      <c r="B406" t="s">
        <v>14</v>
      </c>
      <c r="C406" t="s">
        <v>15</v>
      </c>
      <c r="D406">
        <f>_xlfn.XLOOKUP(C406, stage_mapping!$A$1:$A$8, stage_mapping!$B$1:$B$8)</f>
        <v>2</v>
      </c>
      <c r="E406">
        <v>59.8</v>
      </c>
      <c r="F406" t="s">
        <v>16</v>
      </c>
      <c r="G406" t="s">
        <v>17</v>
      </c>
      <c r="H406" s="1">
        <v>45677</v>
      </c>
      <c r="I406" s="1"/>
    </row>
    <row r="407" spans="1:9" x14ac:dyDescent="0.25">
      <c r="A407" t="s">
        <v>452</v>
      </c>
      <c r="B407" t="s">
        <v>79</v>
      </c>
      <c r="C407" t="s">
        <v>10</v>
      </c>
      <c r="D407">
        <f>_xlfn.XLOOKUP(C407, stage_mapping!$A$1:$A$8, stage_mapping!$B$1:$B$8)</f>
        <v>1</v>
      </c>
      <c r="E407">
        <v>59946</v>
      </c>
      <c r="F407" t="s">
        <v>20</v>
      </c>
      <c r="G407" t="s">
        <v>12</v>
      </c>
      <c r="H407" s="1">
        <v>45602</v>
      </c>
      <c r="I407" s="1"/>
    </row>
    <row r="408" spans="1:9" x14ac:dyDescent="0.25">
      <c r="A408" t="s">
        <v>453</v>
      </c>
      <c r="B408" t="s">
        <v>45</v>
      </c>
      <c r="C408" t="s">
        <v>49</v>
      </c>
      <c r="D408">
        <f>_xlfn.XLOOKUP(C408, stage_mapping!$A$1:$A$8, stage_mapping!$B$1:$B$8)</f>
        <v>6</v>
      </c>
      <c r="E408">
        <v>12443</v>
      </c>
      <c r="F408" t="s">
        <v>43</v>
      </c>
      <c r="G408" t="s">
        <v>21</v>
      </c>
      <c r="H408" s="1">
        <v>45990</v>
      </c>
      <c r="I408" s="1"/>
    </row>
    <row r="409" spans="1:9" x14ac:dyDescent="0.25">
      <c r="A409" t="s">
        <v>454</v>
      </c>
      <c r="B409" t="s">
        <v>47</v>
      </c>
      <c r="C409" t="s">
        <v>35</v>
      </c>
      <c r="D409">
        <f>_xlfn.XLOOKUP(C409, stage_mapping!$A$1:$A$8, stage_mapping!$B$1:$B$8)</f>
        <v>4</v>
      </c>
      <c r="E409">
        <v>19397</v>
      </c>
      <c r="F409" t="s">
        <v>43</v>
      </c>
      <c r="G409" t="s">
        <v>12</v>
      </c>
      <c r="H409" s="1">
        <v>45948</v>
      </c>
      <c r="I409" s="1"/>
    </row>
    <row r="410" spans="1:9" x14ac:dyDescent="0.25">
      <c r="A410" t="s">
        <v>455</v>
      </c>
      <c r="B410" t="s">
        <v>31</v>
      </c>
      <c r="C410" t="s">
        <v>35</v>
      </c>
      <c r="D410">
        <f>_xlfn.XLOOKUP(C410, stage_mapping!$A$1:$A$8, stage_mapping!$B$1:$B$8)</f>
        <v>4</v>
      </c>
      <c r="E410">
        <v>3315</v>
      </c>
      <c r="F410" t="s">
        <v>43</v>
      </c>
      <c r="G410" t="s">
        <v>21</v>
      </c>
      <c r="H410" s="1">
        <v>45634</v>
      </c>
      <c r="I410" s="1">
        <v>45667</v>
      </c>
    </row>
    <row r="411" spans="1:9" x14ac:dyDescent="0.25">
      <c r="A411" t="s">
        <v>456</v>
      </c>
      <c r="B411" t="s">
        <v>56</v>
      </c>
      <c r="C411" t="s">
        <v>49</v>
      </c>
      <c r="D411">
        <f>_xlfn.XLOOKUP(C411, stage_mapping!$A$1:$A$8, stage_mapping!$B$1:$B$8)</f>
        <v>6</v>
      </c>
      <c r="E411">
        <v>38732</v>
      </c>
      <c r="F411" t="s">
        <v>28</v>
      </c>
      <c r="G411" t="s">
        <v>17</v>
      </c>
      <c r="H411" s="1">
        <v>45634</v>
      </c>
      <c r="I411" s="1"/>
    </row>
    <row r="412" spans="1:9" x14ac:dyDescent="0.25">
      <c r="A412" t="s">
        <v>457</v>
      </c>
      <c r="B412" t="s">
        <v>70</v>
      </c>
      <c r="C412" t="s">
        <v>24</v>
      </c>
      <c r="D412">
        <f>_xlfn.XLOOKUP(C412, stage_mapping!$A$1:$A$8, stage_mapping!$B$1:$B$8)</f>
        <v>8</v>
      </c>
      <c r="E412">
        <v>32601</v>
      </c>
      <c r="F412" t="s">
        <v>32</v>
      </c>
      <c r="G412" t="s">
        <v>21</v>
      </c>
      <c r="H412" s="1">
        <v>46002</v>
      </c>
      <c r="I412" s="1">
        <v>46061</v>
      </c>
    </row>
    <row r="413" spans="1:9" x14ac:dyDescent="0.25">
      <c r="A413" t="s">
        <v>458</v>
      </c>
      <c r="B413" t="s">
        <v>9</v>
      </c>
      <c r="C413" t="s">
        <v>53</v>
      </c>
      <c r="D413">
        <f>_xlfn.XLOOKUP(C413, stage_mapping!$A$1:$A$8, stage_mapping!$B$1:$B$8)</f>
        <v>7</v>
      </c>
      <c r="E413">
        <v>8220</v>
      </c>
      <c r="F413" t="s">
        <v>16</v>
      </c>
      <c r="G413" t="s">
        <v>17</v>
      </c>
      <c r="H413" s="1">
        <v>45926</v>
      </c>
      <c r="I413" s="1">
        <v>46017</v>
      </c>
    </row>
    <row r="414" spans="1:9" x14ac:dyDescent="0.25">
      <c r="A414" t="s">
        <v>459</v>
      </c>
      <c r="B414" t="s">
        <v>42</v>
      </c>
      <c r="C414" t="s">
        <v>35</v>
      </c>
      <c r="D414">
        <f>_xlfn.XLOOKUP(C414, stage_mapping!$A$1:$A$8, stage_mapping!$B$1:$B$8)</f>
        <v>4</v>
      </c>
      <c r="E414">
        <v>14013</v>
      </c>
      <c r="F414" t="s">
        <v>43</v>
      </c>
      <c r="G414" t="s">
        <v>29</v>
      </c>
      <c r="H414" s="1">
        <v>45927</v>
      </c>
      <c r="I414" s="1"/>
    </row>
    <row r="415" spans="1:9" x14ac:dyDescent="0.25">
      <c r="A415" t="s">
        <v>460</v>
      </c>
      <c r="B415" t="s">
        <v>63</v>
      </c>
      <c r="C415" t="s">
        <v>35</v>
      </c>
      <c r="D415">
        <f>_xlfn.XLOOKUP(C415, stage_mapping!$A$1:$A$8, stage_mapping!$B$1:$B$8)</f>
        <v>4</v>
      </c>
      <c r="E415">
        <v>18.100000000000001</v>
      </c>
      <c r="F415" t="s">
        <v>20</v>
      </c>
      <c r="G415" t="s">
        <v>17</v>
      </c>
      <c r="H415" s="1">
        <v>45892</v>
      </c>
      <c r="I415" s="1"/>
    </row>
    <row r="416" spans="1:9" x14ac:dyDescent="0.25">
      <c r="A416" t="s">
        <v>461</v>
      </c>
      <c r="B416" t="s">
        <v>105</v>
      </c>
      <c r="C416" t="s">
        <v>24</v>
      </c>
      <c r="D416">
        <f>_xlfn.XLOOKUP(C416, stage_mapping!$A$1:$A$8, stage_mapping!$B$1:$B$8)</f>
        <v>8</v>
      </c>
      <c r="E416">
        <v>42915</v>
      </c>
      <c r="F416" t="s">
        <v>535</v>
      </c>
      <c r="G416" t="s">
        <v>29</v>
      </c>
      <c r="H416" s="1">
        <v>45631</v>
      </c>
      <c r="I416" s="1">
        <v>45691</v>
      </c>
    </row>
    <row r="417" spans="1:9" x14ac:dyDescent="0.25">
      <c r="A417" t="s">
        <v>462</v>
      </c>
      <c r="B417" t="s">
        <v>31</v>
      </c>
      <c r="C417" t="s">
        <v>53</v>
      </c>
      <c r="D417">
        <f>_xlfn.XLOOKUP(C417, stage_mapping!$A$1:$A$8, stage_mapping!$B$1:$B$8)</f>
        <v>7</v>
      </c>
      <c r="E417">
        <v>26173</v>
      </c>
      <c r="F417" t="s">
        <v>20</v>
      </c>
      <c r="G417" t="s">
        <v>21</v>
      </c>
      <c r="H417" s="1">
        <v>45631</v>
      </c>
      <c r="I417" s="1">
        <v>45707</v>
      </c>
    </row>
    <row r="418" spans="1:9" x14ac:dyDescent="0.25">
      <c r="A418" t="s">
        <v>463</v>
      </c>
      <c r="B418" t="s">
        <v>70</v>
      </c>
      <c r="C418" t="s">
        <v>35</v>
      </c>
      <c r="D418">
        <f>_xlfn.XLOOKUP(C418, stage_mapping!$A$1:$A$8, stage_mapping!$B$1:$B$8)</f>
        <v>4</v>
      </c>
      <c r="E418">
        <v>8526</v>
      </c>
      <c r="F418" t="s">
        <v>32</v>
      </c>
      <c r="G418" t="s">
        <v>21</v>
      </c>
      <c r="H418" s="1">
        <v>45495</v>
      </c>
      <c r="I418" s="1"/>
    </row>
    <row r="419" spans="1:9" x14ac:dyDescent="0.25">
      <c r="A419" t="s">
        <v>464</v>
      </c>
      <c r="B419" t="s">
        <v>63</v>
      </c>
      <c r="C419" t="s">
        <v>15</v>
      </c>
      <c r="D419">
        <f>_xlfn.XLOOKUP(C419, stage_mapping!$A$1:$A$8, stage_mapping!$B$1:$B$8)</f>
        <v>2</v>
      </c>
      <c r="E419">
        <v>43358</v>
      </c>
      <c r="F419" t="s">
        <v>20</v>
      </c>
      <c r="G419" t="s">
        <v>17</v>
      </c>
      <c r="H419" s="1">
        <v>45670</v>
      </c>
      <c r="I419" s="1"/>
    </row>
    <row r="420" spans="1:9" x14ac:dyDescent="0.25">
      <c r="A420" t="s">
        <v>465</v>
      </c>
      <c r="B420" t="s">
        <v>42</v>
      </c>
      <c r="C420" t="s">
        <v>49</v>
      </c>
      <c r="D420">
        <f>_xlfn.XLOOKUP(C420, stage_mapping!$A$1:$A$8, stage_mapping!$B$1:$B$8)</f>
        <v>6</v>
      </c>
      <c r="E420">
        <v>36995</v>
      </c>
      <c r="F420" t="s">
        <v>16</v>
      </c>
      <c r="G420" t="s">
        <v>17</v>
      </c>
      <c r="H420" s="1">
        <v>45542</v>
      </c>
      <c r="I420" s="1"/>
    </row>
    <row r="421" spans="1:9" x14ac:dyDescent="0.25">
      <c r="A421" t="s">
        <v>466</v>
      </c>
      <c r="B421" t="s">
        <v>42</v>
      </c>
      <c r="C421" t="s">
        <v>49</v>
      </c>
      <c r="D421">
        <f>_xlfn.XLOOKUP(C421, stage_mapping!$A$1:$A$8, stage_mapping!$B$1:$B$8)</f>
        <v>6</v>
      </c>
      <c r="E421">
        <v>52657</v>
      </c>
      <c r="F421" t="s">
        <v>28</v>
      </c>
      <c r="G421" t="s">
        <v>17</v>
      </c>
      <c r="H421" s="1">
        <v>45689</v>
      </c>
      <c r="I421" s="1"/>
    </row>
    <row r="422" spans="1:9" x14ac:dyDescent="0.25">
      <c r="A422" t="s">
        <v>467</v>
      </c>
      <c r="B422" t="s">
        <v>79</v>
      </c>
      <c r="C422" t="s">
        <v>49</v>
      </c>
      <c r="D422">
        <f>_xlfn.XLOOKUP(C422, stage_mapping!$A$1:$A$8, stage_mapping!$B$1:$B$8)</f>
        <v>6</v>
      </c>
      <c r="E422">
        <v>80835</v>
      </c>
      <c r="F422" t="s">
        <v>32</v>
      </c>
      <c r="G422" t="s">
        <v>12</v>
      </c>
      <c r="H422" s="1">
        <v>45516</v>
      </c>
      <c r="I422" s="1"/>
    </row>
    <row r="423" spans="1:9" x14ac:dyDescent="0.25">
      <c r="A423" t="s">
        <v>468</v>
      </c>
      <c r="B423" t="s">
        <v>37</v>
      </c>
      <c r="C423" t="s">
        <v>49</v>
      </c>
      <c r="D423">
        <f>_xlfn.XLOOKUP(C423, stage_mapping!$A$1:$A$8, stage_mapping!$B$1:$B$8)</f>
        <v>6</v>
      </c>
      <c r="E423">
        <v>14471</v>
      </c>
      <c r="F423" t="s">
        <v>20</v>
      </c>
      <c r="G423" t="s">
        <v>29</v>
      </c>
      <c r="H423" s="1">
        <v>45928</v>
      </c>
      <c r="I423" s="1"/>
    </row>
    <row r="424" spans="1:9" x14ac:dyDescent="0.25">
      <c r="A424" t="s">
        <v>469</v>
      </c>
      <c r="B424" t="s">
        <v>37</v>
      </c>
      <c r="C424" t="s">
        <v>71</v>
      </c>
      <c r="D424">
        <f>_xlfn.XLOOKUP(C424, stage_mapping!$A$1:$A$8, stage_mapping!$B$1:$B$8)</f>
        <v>5</v>
      </c>
      <c r="E424">
        <v>8888</v>
      </c>
      <c r="F424" t="s">
        <v>43</v>
      </c>
      <c r="G424" t="s">
        <v>29</v>
      </c>
      <c r="H424" s="1">
        <v>45525</v>
      </c>
      <c r="I424" s="1"/>
    </row>
    <row r="425" spans="1:9" x14ac:dyDescent="0.25">
      <c r="A425" t="s">
        <v>470</v>
      </c>
      <c r="B425" t="s">
        <v>47</v>
      </c>
      <c r="C425" t="s">
        <v>35</v>
      </c>
      <c r="D425">
        <f>_xlfn.XLOOKUP(C425, stage_mapping!$A$1:$A$8, stage_mapping!$B$1:$B$8)</f>
        <v>4</v>
      </c>
      <c r="E425">
        <v>4828</v>
      </c>
      <c r="F425" t="s">
        <v>28</v>
      </c>
      <c r="G425" t="s">
        <v>12</v>
      </c>
      <c r="H425" s="1">
        <v>45885</v>
      </c>
      <c r="I425" s="1"/>
    </row>
    <row r="426" spans="1:9" x14ac:dyDescent="0.25">
      <c r="A426" t="s">
        <v>471</v>
      </c>
      <c r="B426" t="s">
        <v>42</v>
      </c>
      <c r="C426" t="s">
        <v>35</v>
      </c>
      <c r="D426">
        <f>_xlfn.XLOOKUP(C426, stage_mapping!$A$1:$A$8, stage_mapping!$B$1:$B$8)</f>
        <v>4</v>
      </c>
      <c r="E426">
        <v>12607</v>
      </c>
      <c r="F426" t="s">
        <v>16</v>
      </c>
      <c r="G426" t="s">
        <v>17</v>
      </c>
      <c r="H426" s="1">
        <v>45322</v>
      </c>
      <c r="I426" s="1"/>
    </row>
    <row r="427" spans="1:9" x14ac:dyDescent="0.25">
      <c r="A427" t="s">
        <v>472</v>
      </c>
      <c r="B427" t="s">
        <v>14</v>
      </c>
      <c r="C427" t="s">
        <v>53</v>
      </c>
      <c r="D427">
        <f>_xlfn.XLOOKUP(C427, stage_mapping!$A$1:$A$8, stage_mapping!$B$1:$B$8)</f>
        <v>7</v>
      </c>
      <c r="E427">
        <v>46273</v>
      </c>
      <c r="F427" t="s">
        <v>11</v>
      </c>
      <c r="G427" t="s">
        <v>17</v>
      </c>
      <c r="H427" s="1">
        <v>45449</v>
      </c>
      <c r="I427" s="1">
        <v>45534</v>
      </c>
    </row>
    <row r="428" spans="1:9" x14ac:dyDescent="0.25">
      <c r="A428" t="s">
        <v>473</v>
      </c>
      <c r="B428" t="s">
        <v>70</v>
      </c>
      <c r="C428" t="s">
        <v>10</v>
      </c>
      <c r="D428">
        <f>_xlfn.XLOOKUP(C428, stage_mapping!$A$1:$A$8, stage_mapping!$B$1:$B$8)</f>
        <v>1</v>
      </c>
      <c r="E428">
        <v>32164</v>
      </c>
      <c r="F428" t="s">
        <v>11</v>
      </c>
      <c r="G428" t="s">
        <v>21</v>
      </c>
      <c r="H428" s="1">
        <v>45324</v>
      </c>
      <c r="I428" s="1">
        <v>45354</v>
      </c>
    </row>
    <row r="429" spans="1:9" x14ac:dyDescent="0.25">
      <c r="A429" t="s">
        <v>474</v>
      </c>
      <c r="B429" t="s">
        <v>47</v>
      </c>
      <c r="C429" t="s">
        <v>24</v>
      </c>
      <c r="D429">
        <f>_xlfn.XLOOKUP(C429, stage_mapping!$A$1:$A$8, stage_mapping!$B$1:$B$8)</f>
        <v>8</v>
      </c>
      <c r="E429">
        <v>12252</v>
      </c>
      <c r="F429" t="s">
        <v>16</v>
      </c>
      <c r="G429" t="s">
        <v>17</v>
      </c>
      <c r="H429" s="1">
        <v>45720</v>
      </c>
      <c r="I429" s="1">
        <v>45774</v>
      </c>
    </row>
    <row r="430" spans="1:9" x14ac:dyDescent="0.25">
      <c r="A430" t="s">
        <v>475</v>
      </c>
      <c r="B430" t="s">
        <v>9</v>
      </c>
      <c r="C430" t="s">
        <v>35</v>
      </c>
      <c r="D430">
        <f>_xlfn.XLOOKUP(C430, stage_mapping!$A$1:$A$8, stage_mapping!$B$1:$B$8)</f>
        <v>4</v>
      </c>
      <c r="E430">
        <v>18994</v>
      </c>
      <c r="F430" t="s">
        <v>43</v>
      </c>
      <c r="G430" t="s">
        <v>12</v>
      </c>
      <c r="H430" s="1">
        <v>45574</v>
      </c>
      <c r="I430" s="1"/>
    </row>
    <row r="431" spans="1:9" x14ac:dyDescent="0.25">
      <c r="A431" t="s">
        <v>476</v>
      </c>
      <c r="B431" t="s">
        <v>65</v>
      </c>
      <c r="C431" t="s">
        <v>35</v>
      </c>
      <c r="D431">
        <f>_xlfn.XLOOKUP(C431, stage_mapping!$A$1:$A$8, stage_mapping!$B$1:$B$8)</f>
        <v>4</v>
      </c>
      <c r="E431">
        <v>13909</v>
      </c>
      <c r="F431" t="s">
        <v>28</v>
      </c>
      <c r="G431" t="s">
        <v>12</v>
      </c>
      <c r="H431" s="1">
        <v>45471</v>
      </c>
      <c r="I431" s="1"/>
    </row>
    <row r="432" spans="1:9" x14ac:dyDescent="0.25">
      <c r="A432" t="s">
        <v>477</v>
      </c>
      <c r="B432" t="s">
        <v>27</v>
      </c>
      <c r="C432" t="s">
        <v>49</v>
      </c>
      <c r="D432">
        <f>_xlfn.XLOOKUP(C432, stage_mapping!$A$1:$A$8, stage_mapping!$B$1:$B$8)</f>
        <v>6</v>
      </c>
      <c r="E432">
        <v>24653</v>
      </c>
      <c r="F432" t="s">
        <v>43</v>
      </c>
      <c r="G432" t="s">
        <v>29</v>
      </c>
      <c r="H432" s="1">
        <v>45514</v>
      </c>
      <c r="I432" s="1"/>
    </row>
    <row r="433" spans="1:9" x14ac:dyDescent="0.25">
      <c r="A433" t="s">
        <v>478</v>
      </c>
      <c r="B433" t="s">
        <v>42</v>
      </c>
      <c r="C433" t="s">
        <v>49</v>
      </c>
      <c r="D433">
        <f>_xlfn.XLOOKUP(C433, stage_mapping!$A$1:$A$8, stage_mapping!$B$1:$B$8)</f>
        <v>6</v>
      </c>
      <c r="E433">
        <v>9750</v>
      </c>
      <c r="F433" t="s">
        <v>11</v>
      </c>
      <c r="G433" t="s">
        <v>17</v>
      </c>
      <c r="H433" s="1">
        <v>45764</v>
      </c>
      <c r="I433" s="1"/>
    </row>
    <row r="434" spans="1:9" x14ac:dyDescent="0.25">
      <c r="A434" t="s">
        <v>479</v>
      </c>
      <c r="B434" t="s">
        <v>37</v>
      </c>
      <c r="C434" t="s">
        <v>24</v>
      </c>
      <c r="D434">
        <f>_xlfn.XLOOKUP(C434, stage_mapping!$A$1:$A$8, stage_mapping!$B$1:$B$8)</f>
        <v>8</v>
      </c>
      <c r="E434">
        <v>33942</v>
      </c>
      <c r="F434" t="s">
        <v>20</v>
      </c>
      <c r="G434" t="s">
        <v>29</v>
      </c>
      <c r="H434" s="1">
        <v>45577</v>
      </c>
      <c r="I434" s="1">
        <v>45659</v>
      </c>
    </row>
    <row r="435" spans="1:9" x14ac:dyDescent="0.25">
      <c r="A435" t="s">
        <v>480</v>
      </c>
      <c r="B435" t="s">
        <v>65</v>
      </c>
      <c r="C435" t="s">
        <v>53</v>
      </c>
      <c r="D435">
        <f>_xlfn.XLOOKUP(C435, stage_mapping!$A$1:$A$8, stage_mapping!$B$1:$B$8)</f>
        <v>7</v>
      </c>
      <c r="E435">
        <v>12985</v>
      </c>
      <c r="F435" t="s">
        <v>11</v>
      </c>
      <c r="G435" t="s">
        <v>12</v>
      </c>
      <c r="H435" s="1">
        <v>46005</v>
      </c>
      <c r="I435" s="1">
        <v>46064</v>
      </c>
    </row>
    <row r="436" spans="1:9" x14ac:dyDescent="0.25">
      <c r="A436" t="s">
        <v>481</v>
      </c>
      <c r="B436" t="s">
        <v>31</v>
      </c>
      <c r="C436" t="s">
        <v>10</v>
      </c>
      <c r="D436">
        <f>_xlfn.XLOOKUP(C436, stage_mapping!$A$1:$A$8, stage_mapping!$B$1:$B$8)</f>
        <v>1</v>
      </c>
      <c r="E436">
        <v>9396</v>
      </c>
      <c r="F436" t="s">
        <v>11</v>
      </c>
      <c r="G436" t="s">
        <v>21</v>
      </c>
      <c r="H436" s="1">
        <v>45306</v>
      </c>
      <c r="I436" s="1"/>
    </row>
    <row r="437" spans="1:9" x14ac:dyDescent="0.25">
      <c r="A437" t="s">
        <v>482</v>
      </c>
      <c r="B437" t="s">
        <v>105</v>
      </c>
      <c r="C437" t="s">
        <v>15</v>
      </c>
      <c r="D437">
        <f>_xlfn.XLOOKUP(C437, stage_mapping!$A$1:$A$8, stage_mapping!$B$1:$B$8)</f>
        <v>2</v>
      </c>
      <c r="E437">
        <v>9582</v>
      </c>
      <c r="F437" t="s">
        <v>11</v>
      </c>
      <c r="G437" t="s">
        <v>29</v>
      </c>
      <c r="H437" s="1">
        <v>45730</v>
      </c>
      <c r="I437" s="1"/>
    </row>
    <row r="438" spans="1:9" x14ac:dyDescent="0.25">
      <c r="A438" t="s">
        <v>483</v>
      </c>
      <c r="B438" t="s">
        <v>39</v>
      </c>
      <c r="C438" t="s">
        <v>53</v>
      </c>
      <c r="D438">
        <f>_xlfn.XLOOKUP(C438, stage_mapping!$A$1:$A$8, stage_mapping!$B$1:$B$8)</f>
        <v>7</v>
      </c>
      <c r="E438">
        <v>42793</v>
      </c>
      <c r="F438" t="s">
        <v>16</v>
      </c>
      <c r="G438" t="s">
        <v>12</v>
      </c>
      <c r="H438" s="1">
        <v>45396</v>
      </c>
      <c r="I438" s="1">
        <v>45482</v>
      </c>
    </row>
    <row r="439" spans="1:9" x14ac:dyDescent="0.25">
      <c r="A439" t="s">
        <v>484</v>
      </c>
      <c r="B439" t="s">
        <v>63</v>
      </c>
      <c r="C439" t="s">
        <v>53</v>
      </c>
      <c r="D439">
        <f>_xlfn.XLOOKUP(C439, stage_mapping!$A$1:$A$8, stage_mapping!$B$1:$B$8)</f>
        <v>7</v>
      </c>
      <c r="E439">
        <v>10980</v>
      </c>
      <c r="F439" t="s">
        <v>535</v>
      </c>
      <c r="G439" t="s">
        <v>17</v>
      </c>
      <c r="H439" s="1">
        <v>45974</v>
      </c>
      <c r="I439" s="1">
        <v>46016</v>
      </c>
    </row>
    <row r="440" spans="1:9" x14ac:dyDescent="0.25">
      <c r="A440" t="s">
        <v>485</v>
      </c>
      <c r="B440" t="s">
        <v>47</v>
      </c>
      <c r="C440" t="s">
        <v>53</v>
      </c>
      <c r="D440">
        <f>_xlfn.XLOOKUP(C440, stage_mapping!$A$1:$A$8, stage_mapping!$B$1:$B$8)</f>
        <v>7</v>
      </c>
      <c r="E440">
        <v>14462</v>
      </c>
      <c r="F440" t="s">
        <v>20</v>
      </c>
      <c r="G440" t="s">
        <v>17</v>
      </c>
      <c r="H440" s="1">
        <v>45926</v>
      </c>
      <c r="I440" s="1">
        <v>45958</v>
      </c>
    </row>
    <row r="441" spans="1:9" x14ac:dyDescent="0.25">
      <c r="A441" t="s">
        <v>486</v>
      </c>
      <c r="B441" t="s">
        <v>39</v>
      </c>
      <c r="C441" t="s">
        <v>15</v>
      </c>
      <c r="D441">
        <f>_xlfn.XLOOKUP(C441, stage_mapping!$A$1:$A$8, stage_mapping!$B$1:$B$8)</f>
        <v>2</v>
      </c>
      <c r="E441">
        <v>8940</v>
      </c>
      <c r="F441" t="s">
        <v>535</v>
      </c>
      <c r="G441" t="s">
        <v>25</v>
      </c>
      <c r="H441" s="1">
        <v>45631</v>
      </c>
      <c r="I441" s="1">
        <v>45667</v>
      </c>
    </row>
    <row r="442" spans="1:9" x14ac:dyDescent="0.25">
      <c r="A442" t="s">
        <v>487</v>
      </c>
      <c r="B442" t="s">
        <v>68</v>
      </c>
      <c r="C442" t="s">
        <v>24</v>
      </c>
      <c r="D442">
        <f>_xlfn.XLOOKUP(C442, stage_mapping!$A$1:$A$8, stage_mapping!$B$1:$B$8)</f>
        <v>8</v>
      </c>
      <c r="E442">
        <v>5133</v>
      </c>
      <c r="F442" t="s">
        <v>11</v>
      </c>
      <c r="G442" t="s">
        <v>12</v>
      </c>
      <c r="H442" s="1">
        <v>45420</v>
      </c>
      <c r="I442" s="1">
        <v>45516</v>
      </c>
    </row>
    <row r="443" spans="1:9" x14ac:dyDescent="0.25">
      <c r="A443" t="s">
        <v>488</v>
      </c>
      <c r="B443" t="s">
        <v>31</v>
      </c>
      <c r="C443" t="s">
        <v>15</v>
      </c>
      <c r="D443">
        <f>_xlfn.XLOOKUP(C443, stage_mapping!$A$1:$A$8, stage_mapping!$B$1:$B$8)</f>
        <v>2</v>
      </c>
      <c r="E443">
        <v>9133</v>
      </c>
      <c r="F443" t="s">
        <v>20</v>
      </c>
      <c r="G443" t="s">
        <v>21</v>
      </c>
      <c r="H443" s="1">
        <v>45942</v>
      </c>
      <c r="I443" s="1"/>
    </row>
    <row r="444" spans="1:9" x14ac:dyDescent="0.25">
      <c r="A444" t="s">
        <v>489</v>
      </c>
      <c r="B444" t="s">
        <v>23</v>
      </c>
      <c r="C444" t="s">
        <v>49</v>
      </c>
      <c r="D444">
        <f>_xlfn.XLOOKUP(C444, stage_mapping!$A$1:$A$8, stage_mapping!$B$1:$B$8)</f>
        <v>6</v>
      </c>
      <c r="E444">
        <v>9888</v>
      </c>
      <c r="F444" t="s">
        <v>43</v>
      </c>
      <c r="G444" t="s">
        <v>12</v>
      </c>
      <c r="H444" s="1">
        <v>45681</v>
      </c>
      <c r="I444" s="1"/>
    </row>
    <row r="445" spans="1:9" x14ac:dyDescent="0.25">
      <c r="A445" t="s">
        <v>490</v>
      </c>
      <c r="B445" t="s">
        <v>68</v>
      </c>
      <c r="C445" t="s">
        <v>24</v>
      </c>
      <c r="D445">
        <f>_xlfn.XLOOKUP(C445, stage_mapping!$A$1:$A$8, stage_mapping!$B$1:$B$8)</f>
        <v>8</v>
      </c>
      <c r="E445">
        <v>70139</v>
      </c>
      <c r="F445" t="s">
        <v>32</v>
      </c>
      <c r="G445" t="s">
        <v>25</v>
      </c>
      <c r="H445" s="1">
        <v>45793</v>
      </c>
      <c r="I445" s="1">
        <v>45841</v>
      </c>
    </row>
    <row r="446" spans="1:9" x14ac:dyDescent="0.25">
      <c r="A446" t="s">
        <v>491</v>
      </c>
      <c r="B446" t="s">
        <v>65</v>
      </c>
      <c r="C446" t="s">
        <v>49</v>
      </c>
      <c r="D446">
        <f>_xlfn.XLOOKUP(C446, stage_mapping!$A$1:$A$8, stage_mapping!$B$1:$B$8)</f>
        <v>6</v>
      </c>
      <c r="E446">
        <v>10122</v>
      </c>
      <c r="F446" t="s">
        <v>11</v>
      </c>
      <c r="G446" t="s">
        <v>12</v>
      </c>
      <c r="H446" s="1">
        <v>45911</v>
      </c>
      <c r="I446" s="1"/>
    </row>
    <row r="447" spans="1:9" x14ac:dyDescent="0.25">
      <c r="A447" t="s">
        <v>492</v>
      </c>
      <c r="B447" t="s">
        <v>45</v>
      </c>
      <c r="C447" t="s">
        <v>24</v>
      </c>
      <c r="D447">
        <f>_xlfn.XLOOKUP(C447, stage_mapping!$A$1:$A$8, stage_mapping!$B$1:$B$8)</f>
        <v>8</v>
      </c>
      <c r="E447">
        <v>8647</v>
      </c>
      <c r="F447" t="s">
        <v>32</v>
      </c>
      <c r="G447" t="s">
        <v>17</v>
      </c>
      <c r="H447" s="1">
        <v>45729</v>
      </c>
      <c r="I447" s="1">
        <v>45831</v>
      </c>
    </row>
    <row r="448" spans="1:9" x14ac:dyDescent="0.25">
      <c r="A448" t="s">
        <v>493</v>
      </c>
      <c r="B448" t="s">
        <v>37</v>
      </c>
      <c r="C448" t="s">
        <v>35</v>
      </c>
      <c r="D448">
        <f>_xlfn.XLOOKUP(C448, stage_mapping!$A$1:$A$8, stage_mapping!$B$1:$B$8)</f>
        <v>4</v>
      </c>
      <c r="E448">
        <v>38197</v>
      </c>
      <c r="F448" t="s">
        <v>535</v>
      </c>
      <c r="G448" t="s">
        <v>29</v>
      </c>
      <c r="H448" s="1">
        <v>45506</v>
      </c>
      <c r="I448" s="1"/>
    </row>
    <row r="449" spans="1:9" x14ac:dyDescent="0.25">
      <c r="A449" t="s">
        <v>494</v>
      </c>
      <c r="B449" t="s">
        <v>23</v>
      </c>
      <c r="C449" t="s">
        <v>15</v>
      </c>
      <c r="D449">
        <f>_xlfn.XLOOKUP(C449, stage_mapping!$A$1:$A$8, stage_mapping!$B$1:$B$8)</f>
        <v>2</v>
      </c>
      <c r="E449">
        <v>31906</v>
      </c>
      <c r="F449" t="s">
        <v>11</v>
      </c>
      <c r="G449" t="s">
        <v>12</v>
      </c>
      <c r="H449" s="1">
        <v>45806</v>
      </c>
      <c r="I449" s="1"/>
    </row>
    <row r="450" spans="1:9" x14ac:dyDescent="0.25">
      <c r="A450" t="s">
        <v>495</v>
      </c>
      <c r="B450" t="s">
        <v>9</v>
      </c>
      <c r="C450" t="s">
        <v>15</v>
      </c>
      <c r="D450">
        <f>_xlfn.XLOOKUP(C450, stage_mapping!$A$1:$A$8, stage_mapping!$B$1:$B$8)</f>
        <v>2</v>
      </c>
      <c r="E450">
        <v>16580</v>
      </c>
      <c r="F450" t="s">
        <v>11</v>
      </c>
      <c r="G450" t="s">
        <v>12</v>
      </c>
      <c r="H450" s="1">
        <v>45575</v>
      </c>
      <c r="I450" s="1"/>
    </row>
    <row r="451" spans="1:9" x14ac:dyDescent="0.25">
      <c r="A451" t="s">
        <v>496</v>
      </c>
      <c r="B451" t="s">
        <v>19</v>
      </c>
      <c r="C451" t="s">
        <v>35</v>
      </c>
      <c r="D451">
        <f>_xlfn.XLOOKUP(C451, stage_mapping!$A$1:$A$8, stage_mapping!$B$1:$B$8)</f>
        <v>4</v>
      </c>
      <c r="E451">
        <v>18356</v>
      </c>
      <c r="F451" t="s">
        <v>32</v>
      </c>
      <c r="G451" t="s">
        <v>29</v>
      </c>
      <c r="H451" s="1">
        <v>45731</v>
      </c>
      <c r="I451" s="1"/>
    </row>
    <row r="452" spans="1:9" x14ac:dyDescent="0.25">
      <c r="A452" t="s">
        <v>497</v>
      </c>
      <c r="B452" t="s">
        <v>498</v>
      </c>
      <c r="C452" t="s">
        <v>35</v>
      </c>
      <c r="D452">
        <f>_xlfn.XLOOKUP(C452, stage_mapping!$A$1:$A$8, stage_mapping!$B$1:$B$8)</f>
        <v>4</v>
      </c>
      <c r="F452" t="s">
        <v>11</v>
      </c>
      <c r="G452" t="s">
        <v>25</v>
      </c>
      <c r="H452" s="1">
        <v>45573</v>
      </c>
      <c r="I452" s="1"/>
    </row>
    <row r="453" spans="1:9" x14ac:dyDescent="0.25">
      <c r="A453" t="s">
        <v>499</v>
      </c>
      <c r="B453" t="s">
        <v>45</v>
      </c>
      <c r="C453" t="s">
        <v>53</v>
      </c>
      <c r="D453">
        <f>_xlfn.XLOOKUP(C453, stage_mapping!$A$1:$A$8, stage_mapping!$B$1:$B$8)</f>
        <v>7</v>
      </c>
      <c r="E453">
        <v>8500</v>
      </c>
      <c r="F453" t="s">
        <v>498</v>
      </c>
      <c r="G453" t="s">
        <v>25</v>
      </c>
      <c r="H453" s="1">
        <v>45878</v>
      </c>
      <c r="I453" s="1"/>
    </row>
    <row r="454" spans="1:9" x14ac:dyDescent="0.25">
      <c r="A454" t="s">
        <v>500</v>
      </c>
      <c r="B454" t="s">
        <v>105</v>
      </c>
      <c r="C454" t="s">
        <v>35</v>
      </c>
      <c r="D454">
        <f>_xlfn.XLOOKUP(C454, stage_mapping!$A$1:$A$8, stage_mapping!$B$1:$B$8)</f>
        <v>4</v>
      </c>
      <c r="E454">
        <v>8500</v>
      </c>
      <c r="F454" t="s">
        <v>43</v>
      </c>
      <c r="G454" t="s">
        <v>21</v>
      </c>
      <c r="H454" s="1">
        <v>45357</v>
      </c>
      <c r="I454" s="1"/>
    </row>
    <row r="455" spans="1:9" x14ac:dyDescent="0.25">
      <c r="A455" t="s">
        <v>501</v>
      </c>
      <c r="B455" t="s">
        <v>81</v>
      </c>
      <c r="C455" t="s">
        <v>53</v>
      </c>
      <c r="D455">
        <f>_xlfn.XLOOKUP(C455, stage_mapping!$A$1:$A$8, stage_mapping!$B$1:$B$8)</f>
        <v>7</v>
      </c>
      <c r="F455" t="s">
        <v>32</v>
      </c>
      <c r="G455" t="s">
        <v>21</v>
      </c>
      <c r="H455" s="1">
        <v>45890</v>
      </c>
      <c r="I455" s="1">
        <v>45923</v>
      </c>
    </row>
    <row r="456" spans="1:9" x14ac:dyDescent="0.25">
      <c r="A456" t="s">
        <v>498</v>
      </c>
      <c r="B456" t="s">
        <v>70</v>
      </c>
      <c r="C456" t="s">
        <v>35</v>
      </c>
      <c r="D456">
        <f>_xlfn.XLOOKUP(C456, stage_mapping!$A$1:$A$8, stage_mapping!$B$1:$B$8)</f>
        <v>4</v>
      </c>
      <c r="E456">
        <v>42000</v>
      </c>
      <c r="F456" t="s">
        <v>20</v>
      </c>
      <c r="G456" t="s">
        <v>17</v>
      </c>
      <c r="H456" s="1">
        <v>45613</v>
      </c>
      <c r="I456" s="1"/>
    </row>
    <row r="457" spans="1:9" x14ac:dyDescent="0.25">
      <c r="A457" t="s">
        <v>502</v>
      </c>
      <c r="B457" t="s">
        <v>65</v>
      </c>
      <c r="C457" t="s">
        <v>35</v>
      </c>
      <c r="D457">
        <f>_xlfn.XLOOKUP(C457, stage_mapping!$A$1:$A$8, stage_mapping!$B$1:$B$8)</f>
        <v>4</v>
      </c>
      <c r="E457">
        <v>42000</v>
      </c>
      <c r="F457" t="s">
        <v>20</v>
      </c>
      <c r="G457" t="s">
        <v>21</v>
      </c>
      <c r="H457" s="1">
        <v>45849</v>
      </c>
      <c r="I457" s="1"/>
    </row>
    <row r="458" spans="1:9" x14ac:dyDescent="0.25">
      <c r="A458" t="s">
        <v>503</v>
      </c>
      <c r="B458" t="s">
        <v>105</v>
      </c>
      <c r="C458" t="s">
        <v>35</v>
      </c>
      <c r="D458">
        <f>_xlfn.XLOOKUP(C458, stage_mapping!$A$1:$A$8, stage_mapping!$B$1:$B$8)</f>
        <v>4</v>
      </c>
      <c r="F458" t="s">
        <v>11</v>
      </c>
      <c r="G458" t="s">
        <v>29</v>
      </c>
      <c r="H458" s="1">
        <v>45827</v>
      </c>
      <c r="I458" s="1"/>
    </row>
    <row r="459" spans="1:9" x14ac:dyDescent="0.25">
      <c r="A459" t="s">
        <v>504</v>
      </c>
      <c r="B459" t="s">
        <v>498</v>
      </c>
      <c r="C459" t="s">
        <v>49</v>
      </c>
      <c r="D459">
        <f>_xlfn.XLOOKUP(C459, stage_mapping!$A$1:$A$8, stage_mapping!$B$1:$B$8)</f>
        <v>6</v>
      </c>
      <c r="E459">
        <v>8500</v>
      </c>
      <c r="F459" t="s">
        <v>11</v>
      </c>
      <c r="G459" t="s">
        <v>21</v>
      </c>
      <c r="H459" s="1">
        <v>45908</v>
      </c>
      <c r="I459" s="1">
        <v>45951</v>
      </c>
    </row>
    <row r="460" spans="1:9" x14ac:dyDescent="0.25">
      <c r="A460" t="s">
        <v>505</v>
      </c>
      <c r="B460" t="s">
        <v>498</v>
      </c>
      <c r="C460" t="s">
        <v>53</v>
      </c>
      <c r="D460">
        <f>_xlfn.XLOOKUP(C460, stage_mapping!$A$1:$A$8, stage_mapping!$B$1:$B$8)</f>
        <v>7</v>
      </c>
      <c r="E460">
        <v>42000</v>
      </c>
      <c r="F460" t="s">
        <v>32</v>
      </c>
      <c r="G460" t="s">
        <v>17</v>
      </c>
      <c r="H460" s="1">
        <v>45701</v>
      </c>
      <c r="I460" s="1">
        <v>45745</v>
      </c>
    </row>
    <row r="461" spans="1:9" x14ac:dyDescent="0.25">
      <c r="A461" t="s">
        <v>506</v>
      </c>
      <c r="B461" t="s">
        <v>42</v>
      </c>
      <c r="C461" t="s">
        <v>53</v>
      </c>
      <c r="D461">
        <f>_xlfn.XLOOKUP(C461, stage_mapping!$A$1:$A$8, stage_mapping!$B$1:$B$8)</f>
        <v>7</v>
      </c>
      <c r="E461">
        <v>15000</v>
      </c>
      <c r="F461" t="s">
        <v>498</v>
      </c>
      <c r="G461" t="s">
        <v>25</v>
      </c>
      <c r="H461" s="1">
        <v>45673</v>
      </c>
      <c r="I461" s="1"/>
    </row>
    <row r="462" spans="1:9" x14ac:dyDescent="0.25">
      <c r="A462" t="s">
        <v>507</v>
      </c>
      <c r="B462" t="s">
        <v>498</v>
      </c>
      <c r="C462" t="s">
        <v>35</v>
      </c>
      <c r="D462">
        <f>_xlfn.XLOOKUP(C462, stage_mapping!$A$1:$A$8, stage_mapping!$B$1:$B$8)</f>
        <v>4</v>
      </c>
      <c r="E462">
        <v>15000</v>
      </c>
      <c r="F462" t="s">
        <v>20</v>
      </c>
      <c r="G462" t="s">
        <v>498</v>
      </c>
      <c r="H462" s="1">
        <v>45419</v>
      </c>
      <c r="I462" s="1"/>
    </row>
    <row r="463" spans="1:9" x14ac:dyDescent="0.25">
      <c r="A463" t="s">
        <v>508</v>
      </c>
      <c r="B463" t="s">
        <v>56</v>
      </c>
      <c r="C463" t="s">
        <v>35</v>
      </c>
      <c r="D463">
        <f>_xlfn.XLOOKUP(C463, stage_mapping!$A$1:$A$8, stage_mapping!$B$1:$B$8)</f>
        <v>4</v>
      </c>
      <c r="F463" t="s">
        <v>43</v>
      </c>
      <c r="G463" t="s">
        <v>498</v>
      </c>
      <c r="H463" s="1">
        <v>45678</v>
      </c>
      <c r="I463" s="1">
        <v>45750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2E60-FC65-4CC3-B2F3-D3BEF830872C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10</v>
      </c>
      <c r="B1">
        <v>1</v>
      </c>
    </row>
    <row r="2" spans="1:2" x14ac:dyDescent="0.25">
      <c r="A2" t="s">
        <v>15</v>
      </c>
      <c r="B2">
        <v>2</v>
      </c>
    </row>
    <row r="3" spans="1:2" x14ac:dyDescent="0.25">
      <c r="A3" t="s">
        <v>97</v>
      </c>
      <c r="B3">
        <v>3</v>
      </c>
    </row>
    <row r="4" spans="1:2" x14ac:dyDescent="0.25">
      <c r="A4" t="s">
        <v>35</v>
      </c>
      <c r="B4">
        <v>4</v>
      </c>
    </row>
    <row r="5" spans="1:2" x14ac:dyDescent="0.25">
      <c r="A5" t="s">
        <v>71</v>
      </c>
      <c r="B5">
        <v>5</v>
      </c>
    </row>
    <row r="6" spans="1:2" x14ac:dyDescent="0.25">
      <c r="A6" t="s">
        <v>49</v>
      </c>
      <c r="B6">
        <v>6</v>
      </c>
    </row>
    <row r="7" spans="1:2" x14ac:dyDescent="0.25">
      <c r="A7" t="s">
        <v>53</v>
      </c>
      <c r="B7">
        <v>7</v>
      </c>
    </row>
    <row r="8" spans="1:2" x14ac:dyDescent="0.25">
      <c r="A8" t="s">
        <v>24</v>
      </c>
      <c r="B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01B2-BF8D-4104-B4AD-A1113F017FD0}">
  <dimension ref="A1:D21"/>
  <sheetViews>
    <sheetView workbookViewId="0">
      <selection activeCell="G7" sqref="G7"/>
    </sheetView>
  </sheetViews>
  <sheetFormatPr defaultRowHeight="15" x14ac:dyDescent="0.25"/>
  <cols>
    <col min="1" max="1" width="9" bestFit="1" customWidth="1"/>
    <col min="2" max="2" width="15.5703125" bestFit="1" customWidth="1"/>
    <col min="3" max="3" width="11.42578125" bestFit="1" customWidth="1"/>
    <col min="4" max="4" width="9" bestFit="1" customWidth="1"/>
  </cols>
  <sheetData>
    <row r="1" spans="1:4" x14ac:dyDescent="0.25">
      <c r="A1" t="s">
        <v>1</v>
      </c>
      <c r="B1" t="s">
        <v>509</v>
      </c>
      <c r="C1" t="s">
        <v>510</v>
      </c>
      <c r="D1" t="s">
        <v>5</v>
      </c>
    </row>
    <row r="2" spans="1:4" x14ac:dyDescent="0.25">
      <c r="A2" t="s">
        <v>47</v>
      </c>
      <c r="B2" t="s">
        <v>511</v>
      </c>
      <c r="C2" t="s">
        <v>512</v>
      </c>
      <c r="D2" t="s">
        <v>17</v>
      </c>
    </row>
    <row r="3" spans="1:4" x14ac:dyDescent="0.25">
      <c r="A3" t="s">
        <v>39</v>
      </c>
      <c r="B3" t="s">
        <v>513</v>
      </c>
      <c r="C3" t="s">
        <v>512</v>
      </c>
      <c r="D3" t="s">
        <v>12</v>
      </c>
    </row>
    <row r="4" spans="1:4" x14ac:dyDescent="0.25">
      <c r="A4" t="s">
        <v>37</v>
      </c>
      <c r="B4" t="s">
        <v>514</v>
      </c>
      <c r="C4" t="s">
        <v>515</v>
      </c>
      <c r="D4" t="s">
        <v>29</v>
      </c>
    </row>
    <row r="5" spans="1:4" x14ac:dyDescent="0.25">
      <c r="A5" t="s">
        <v>56</v>
      </c>
      <c r="B5" t="s">
        <v>516</v>
      </c>
      <c r="C5" t="s">
        <v>515</v>
      </c>
      <c r="D5" t="s">
        <v>17</v>
      </c>
    </row>
    <row r="6" spans="1:4" x14ac:dyDescent="0.25">
      <c r="A6" t="s">
        <v>63</v>
      </c>
      <c r="B6" t="s">
        <v>517</v>
      </c>
      <c r="C6" t="s">
        <v>512</v>
      </c>
      <c r="D6" t="s">
        <v>17</v>
      </c>
    </row>
    <row r="7" spans="1:4" x14ac:dyDescent="0.25">
      <c r="A7" t="s">
        <v>27</v>
      </c>
      <c r="B7" t="s">
        <v>518</v>
      </c>
      <c r="C7" t="s">
        <v>512</v>
      </c>
      <c r="D7" t="s">
        <v>29</v>
      </c>
    </row>
    <row r="8" spans="1:4" x14ac:dyDescent="0.25">
      <c r="A8" t="s">
        <v>42</v>
      </c>
      <c r="B8" t="s">
        <v>519</v>
      </c>
      <c r="C8" t="s">
        <v>515</v>
      </c>
      <c r="D8" t="s">
        <v>17</v>
      </c>
    </row>
    <row r="9" spans="1:4" x14ac:dyDescent="0.25">
      <c r="A9" t="s">
        <v>31</v>
      </c>
      <c r="B9" t="s">
        <v>520</v>
      </c>
      <c r="C9" t="s">
        <v>512</v>
      </c>
      <c r="D9" t="s">
        <v>21</v>
      </c>
    </row>
    <row r="10" spans="1:4" x14ac:dyDescent="0.25">
      <c r="A10" t="s">
        <v>79</v>
      </c>
      <c r="B10" t="s">
        <v>521</v>
      </c>
      <c r="C10" t="s">
        <v>522</v>
      </c>
      <c r="D10" t="s">
        <v>12</v>
      </c>
    </row>
    <row r="11" spans="1:4" x14ac:dyDescent="0.25">
      <c r="A11" t="s">
        <v>34</v>
      </c>
      <c r="B11" t="s">
        <v>523</v>
      </c>
      <c r="C11" t="s">
        <v>522</v>
      </c>
      <c r="D11" t="s">
        <v>17</v>
      </c>
    </row>
    <row r="12" spans="1:4" x14ac:dyDescent="0.25">
      <c r="A12" t="s">
        <v>105</v>
      </c>
      <c r="B12" t="s">
        <v>524</v>
      </c>
      <c r="C12" t="s">
        <v>515</v>
      </c>
      <c r="D12" t="s">
        <v>29</v>
      </c>
    </row>
    <row r="13" spans="1:4" x14ac:dyDescent="0.25">
      <c r="A13" t="s">
        <v>65</v>
      </c>
      <c r="B13" t="s">
        <v>525</v>
      </c>
      <c r="C13" t="s">
        <v>512</v>
      </c>
      <c r="D13" t="s">
        <v>12</v>
      </c>
    </row>
    <row r="14" spans="1:4" x14ac:dyDescent="0.25">
      <c r="A14" t="s">
        <v>19</v>
      </c>
      <c r="B14" t="s">
        <v>526</v>
      </c>
      <c r="C14" t="s">
        <v>522</v>
      </c>
      <c r="D14" t="s">
        <v>29</v>
      </c>
    </row>
    <row r="15" spans="1:4" x14ac:dyDescent="0.25">
      <c r="A15" t="s">
        <v>23</v>
      </c>
      <c r="B15" t="s">
        <v>527</v>
      </c>
      <c r="C15" t="s">
        <v>512</v>
      </c>
      <c r="D15" t="s">
        <v>12</v>
      </c>
    </row>
    <row r="16" spans="1:4" x14ac:dyDescent="0.25">
      <c r="A16" t="s">
        <v>70</v>
      </c>
      <c r="B16" t="s">
        <v>528</v>
      </c>
      <c r="C16" t="s">
        <v>512</v>
      </c>
      <c r="D16" t="s">
        <v>21</v>
      </c>
    </row>
    <row r="17" spans="1:4" x14ac:dyDescent="0.25">
      <c r="A17" t="s">
        <v>68</v>
      </c>
      <c r="B17" t="s">
        <v>529</v>
      </c>
      <c r="C17" t="s">
        <v>515</v>
      </c>
      <c r="D17" t="s">
        <v>12</v>
      </c>
    </row>
    <row r="18" spans="1:4" x14ac:dyDescent="0.25">
      <c r="A18" t="s">
        <v>81</v>
      </c>
      <c r="B18" t="s">
        <v>530</v>
      </c>
      <c r="C18" t="s">
        <v>515</v>
      </c>
      <c r="D18" t="s">
        <v>17</v>
      </c>
    </row>
    <row r="19" spans="1:4" x14ac:dyDescent="0.25">
      <c r="A19" t="s">
        <v>14</v>
      </c>
      <c r="B19" t="s">
        <v>531</v>
      </c>
      <c r="C19" t="s">
        <v>522</v>
      </c>
      <c r="D19" t="s">
        <v>17</v>
      </c>
    </row>
    <row r="20" spans="1:4" x14ac:dyDescent="0.25">
      <c r="A20" t="s">
        <v>45</v>
      </c>
      <c r="B20" t="s">
        <v>532</v>
      </c>
      <c r="C20" t="s">
        <v>512</v>
      </c>
      <c r="D20" t="s">
        <v>21</v>
      </c>
    </row>
    <row r="21" spans="1:4" x14ac:dyDescent="0.25">
      <c r="A21" t="s">
        <v>9</v>
      </c>
      <c r="B21" t="s">
        <v>533</v>
      </c>
      <c r="C21" t="s">
        <v>522</v>
      </c>
      <c r="D2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9C8DCB-20B7-48EC-B860-122C140BF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deals</vt:lpstr>
      <vt:lpstr>stage_mapping</vt:lpstr>
      <vt:lpstr>sales_reps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Kimoni</dc:creator>
  <cp:lastModifiedBy>Kimoni Knox</cp:lastModifiedBy>
  <dcterms:created xsi:type="dcterms:W3CDTF">2026-03-15T11:19:08Z</dcterms:created>
  <dcterms:modified xsi:type="dcterms:W3CDTF">2026-04-01T17:18:39Z</dcterms:modified>
</cp:coreProperties>
</file>